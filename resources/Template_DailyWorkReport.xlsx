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jch2\Downloads\"/>
    </mc:Choice>
  </mc:AlternateContent>
  <xr:revisionPtr revIDLastSave="0" documentId="8_{327E294D-4D60-4720-94FD-83A4C35748FF}" xr6:coauthVersionLast="47" xr6:coauthVersionMax="47" xr10:uidLastSave="{00000000-0000-0000-0000-000000000000}"/>
  <bookViews>
    <workbookView xWindow="-28920" yWindow="-120" windowWidth="29040" windowHeight="15720" xr2:uid="{514ED60B-E13F-471C-A205-1E619E3CBF74}"/>
  </bookViews>
  <sheets>
    <sheet name="롯데건설" sheetId="1" r:id="rId1"/>
  </sheets>
  <definedNames>
    <definedName name="_xlnm.Print_Area" localSheetId="0">롯데건설!$A$1:$S$50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3" i="1" l="1"/>
  <c r="O44" i="1"/>
  <c r="O43" i="1"/>
  <c r="R34" i="1"/>
</calcChain>
</file>

<file path=xl/sharedStrings.xml><?xml version="1.0" encoding="utf-8"?>
<sst xmlns="http://schemas.openxmlformats.org/spreadsheetml/2006/main" count="110" uniqueCount="91">
  <si>
    <t>결 제</t>
    <phoneticPr fontId="5" type="noConversion"/>
  </si>
  <si>
    <t>담 당</t>
    <phoneticPr fontId="5" type="noConversion"/>
  </si>
  <si>
    <t>검 토</t>
    <phoneticPr fontId="5" type="noConversion"/>
  </si>
  <si>
    <t>승 인</t>
    <phoneticPr fontId="5" type="noConversion"/>
  </si>
  <si>
    <t>1. 일반현황</t>
    <phoneticPr fontId="5" type="noConversion"/>
  </si>
  <si>
    <t>업   체   명</t>
    <phoneticPr fontId="5" type="noConversion"/>
  </si>
  <si>
    <t>성적서번호</t>
    <phoneticPr fontId="5" type="noConversion"/>
  </si>
  <si>
    <t>공   사   명</t>
    <phoneticPr fontId="5" type="noConversion"/>
  </si>
  <si>
    <t>검 사 품 명</t>
    <phoneticPr fontId="5" type="noConversion"/>
  </si>
  <si>
    <t>적 용 규 격</t>
    <phoneticPr fontId="5" type="noConversion"/>
  </si>
  <si>
    <t>검   사   자</t>
    <phoneticPr fontId="5" type="noConversion"/>
  </si>
  <si>
    <t>사용장비명</t>
    <phoneticPr fontId="5" type="noConversion"/>
  </si>
  <si>
    <t>차 량 번 호</t>
    <phoneticPr fontId="5" type="noConversion"/>
  </si>
  <si>
    <t>2.검사업무현황</t>
    <phoneticPr fontId="5" type="noConversion"/>
  </si>
  <si>
    <t>검사방법</t>
    <phoneticPr fontId="5" type="noConversion"/>
  </si>
  <si>
    <t>단     위</t>
    <phoneticPr fontId="5" type="noConversion"/>
  </si>
  <si>
    <t>검  사  량</t>
    <phoneticPr fontId="5" type="noConversion"/>
  </si>
  <si>
    <t>단    가</t>
    <phoneticPr fontId="5" type="noConversion"/>
  </si>
  <si>
    <t>출  장  비</t>
    <phoneticPr fontId="5" type="noConversion"/>
  </si>
  <si>
    <t>합     계</t>
    <phoneticPr fontId="5" type="noConversion"/>
  </si>
  <si>
    <t>RT</t>
    <phoneticPr fontId="5" type="noConversion"/>
  </si>
  <si>
    <t>UT</t>
    <phoneticPr fontId="5" type="noConversion"/>
  </si>
  <si>
    <t>MT</t>
    <phoneticPr fontId="5" type="noConversion"/>
  </si>
  <si>
    <t>PT</t>
    <phoneticPr fontId="5" type="noConversion"/>
  </si>
  <si>
    <t>세부사항(구체적으로 기재)</t>
    <phoneticPr fontId="5" type="noConversion"/>
  </si>
  <si>
    <t>3. 차량관리 및 안전관리 점검</t>
    <phoneticPr fontId="5" type="noConversion"/>
  </si>
  <si>
    <t>차량 외부상태</t>
    <phoneticPr fontId="5" type="noConversion"/>
  </si>
  <si>
    <t>차량내부
청결상태</t>
    <phoneticPr fontId="5" type="noConversion"/>
  </si>
  <si>
    <t>차량내부
청소여부</t>
    <phoneticPr fontId="5" type="noConversion"/>
  </si>
  <si>
    <t>이동함 시건장치
잠금여부</t>
    <phoneticPr fontId="5" type="noConversion"/>
  </si>
  <si>
    <t>비     고</t>
    <phoneticPr fontId="5" type="noConversion"/>
  </si>
  <si>
    <t>출차시</t>
    <phoneticPr fontId="5" type="noConversion"/>
  </si>
  <si>
    <t>□ 양호   □ 불량</t>
    <phoneticPr fontId="5" type="noConversion"/>
  </si>
  <si>
    <t>□ 함    □ 안함</t>
    <phoneticPr fontId="5" type="noConversion"/>
  </si>
  <si>
    <t>□ 잠금    □ 안함</t>
    <phoneticPr fontId="5" type="noConversion"/>
  </si>
  <si>
    <t>입차시</t>
    <phoneticPr fontId="5" type="noConversion"/>
  </si>
  <si>
    <t>4. 품질불량율(RTK)</t>
    <phoneticPr fontId="5" type="noConversion"/>
  </si>
  <si>
    <t>RTK원인</t>
    <phoneticPr fontId="5" type="noConversion"/>
  </si>
  <si>
    <t>센터미스</t>
    <phoneticPr fontId="5" type="noConversion"/>
  </si>
  <si>
    <t>농  도</t>
    <phoneticPr fontId="5" type="noConversion"/>
  </si>
  <si>
    <t>마킹미스</t>
    <phoneticPr fontId="5" type="noConversion"/>
  </si>
  <si>
    <t>필름마크</t>
    <phoneticPr fontId="5" type="noConversion"/>
  </si>
  <si>
    <t>취급부주의</t>
    <phoneticPr fontId="5" type="noConversion"/>
  </si>
  <si>
    <t>고객불만</t>
    <phoneticPr fontId="5" type="noConversion"/>
  </si>
  <si>
    <t>기타</t>
    <phoneticPr fontId="5" type="noConversion"/>
  </si>
  <si>
    <t>총계</t>
    <phoneticPr fontId="5" type="noConversion"/>
  </si>
  <si>
    <t>RTK수량</t>
    <phoneticPr fontId="5" type="noConversion"/>
  </si>
  <si>
    <t>매</t>
    <phoneticPr fontId="5" type="noConversion"/>
  </si>
  <si>
    <t>5. 근태 및 O/T현황</t>
    <phoneticPr fontId="5" type="noConversion"/>
  </si>
  <si>
    <t>검사자</t>
    <phoneticPr fontId="5" type="noConversion"/>
  </si>
  <si>
    <t>검사업체</t>
    <phoneticPr fontId="5" type="noConversion"/>
  </si>
  <si>
    <t>O/T시간</t>
    <phoneticPr fontId="5" type="noConversion"/>
  </si>
  <si>
    <t>O/T금액</t>
    <phoneticPr fontId="5" type="noConversion"/>
  </si>
  <si>
    <t>6. 자재수불현황</t>
    <phoneticPr fontId="5" type="noConversion"/>
  </si>
  <si>
    <t>품   명</t>
    <phoneticPr fontId="5" type="noConversion"/>
  </si>
  <si>
    <t>TYPE</t>
    <phoneticPr fontId="5" type="noConversion"/>
  </si>
  <si>
    <t>규  격</t>
    <phoneticPr fontId="5" type="noConversion"/>
  </si>
  <si>
    <t>단 위</t>
    <phoneticPr fontId="5" type="noConversion"/>
  </si>
  <si>
    <t>Lot. No.</t>
    <phoneticPr fontId="5" type="noConversion"/>
  </si>
  <si>
    <t>반출</t>
    <phoneticPr fontId="5" type="noConversion"/>
  </si>
  <si>
    <t>일일사용량</t>
    <phoneticPr fontId="5" type="noConversion"/>
  </si>
  <si>
    <t>입고</t>
    <phoneticPr fontId="5" type="noConversion"/>
  </si>
  <si>
    <t>WHITE</t>
    <phoneticPr fontId="5" type="noConversion"/>
  </si>
  <si>
    <t>CAN</t>
    <phoneticPr fontId="5" type="noConversion"/>
  </si>
  <si>
    <t>7C-BLACK</t>
    <phoneticPr fontId="5" type="noConversion"/>
  </si>
  <si>
    <t>침투액</t>
    <phoneticPr fontId="5" type="noConversion"/>
  </si>
  <si>
    <t>세척액</t>
    <phoneticPr fontId="5" type="noConversion"/>
  </si>
  <si>
    <t>현상액</t>
    <phoneticPr fontId="5" type="noConversion"/>
  </si>
  <si>
    <t>3 1/3" * 12"</t>
    <phoneticPr fontId="5" type="noConversion"/>
  </si>
  <si>
    <t>3 1/3" * 12"</t>
  </si>
  <si>
    <t>롯데건설</t>
    <phoneticPr fontId="3" type="noConversion"/>
  </si>
  <si>
    <t>KS</t>
    <phoneticPr fontId="5" type="noConversion"/>
  </si>
  <si>
    <t>PIPE</t>
    <phoneticPr fontId="5" type="noConversion"/>
  </si>
  <si>
    <t>매</t>
    <phoneticPr fontId="3" type="noConversion"/>
  </si>
  <si>
    <t>회천지구 열배관공사</t>
    <phoneticPr fontId="5" type="noConversion"/>
  </si>
  <si>
    <t>주진철,조백현,정진섭</t>
    <phoneticPr fontId="5" type="noConversion"/>
  </si>
  <si>
    <t>6049,4028</t>
    <phoneticPr fontId="3" type="noConversion"/>
  </si>
  <si>
    <t>주진철</t>
    <phoneticPr fontId="3" type="noConversion"/>
  </si>
  <si>
    <t>조백현,정진섭</t>
    <phoneticPr fontId="3" type="noConversion"/>
  </si>
  <si>
    <t>롯데건설</t>
    <phoneticPr fontId="3" type="noConversion"/>
  </si>
  <si>
    <t>RT</t>
  </si>
  <si>
    <t>RT</t>
    <phoneticPr fontId="3" type="noConversion"/>
  </si>
  <si>
    <t>T200</t>
    <phoneticPr fontId="3" type="noConversion"/>
  </si>
  <si>
    <t>D10676</t>
    <phoneticPr fontId="5" type="noConversion"/>
  </si>
  <si>
    <t>AA400</t>
    <phoneticPr fontId="3" type="noConversion"/>
  </si>
  <si>
    <t>17"CUT RTK1매</t>
    <phoneticPr fontId="3" type="noConversion"/>
  </si>
  <si>
    <r>
      <t>2020년     3  월    26일</t>
    </r>
    <r>
      <rPr>
        <b/>
        <sz val="11"/>
        <color indexed="8"/>
        <rFont val="맑은 고딕"/>
        <family val="3"/>
        <charset val="129"/>
      </rPr>
      <t xml:space="preserve">  목</t>
    </r>
    <r>
      <rPr>
        <b/>
        <sz val="11"/>
        <color indexed="8"/>
        <rFont val="맑은 고딕"/>
        <family val="3"/>
        <charset val="129"/>
      </rPr>
      <t>요일</t>
    </r>
    <phoneticPr fontId="5" type="noConversion"/>
  </si>
  <si>
    <t>300A 22P</t>
    <phoneticPr fontId="3" type="noConversion"/>
  </si>
  <si>
    <t>09:00~20:00</t>
    <phoneticPr fontId="3" type="noConversion"/>
  </si>
  <si>
    <t>09:00~20:00</t>
    <phoneticPr fontId="3" type="noConversion"/>
  </si>
  <si>
    <t>숙박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</si>
</sst>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₩&quot;#,##0;[Red]\-&quot;₩&quot;#,##0"/>
    <numFmt numFmtId="41" formatCode="_-* #,##0_-;\-* #,##0_-;_-* &quot;-&quot;_-;_-@_-"/>
    <numFmt numFmtId="176" formatCode="[$-F800]dddd\,\ mmmm\ dd\,\ yyyy"/>
    <numFmt numFmtId="177" formatCode="#,##0_);[Red]\(#,##0\)"/>
    <numFmt numFmtId="178" formatCode="m&quot;월&quot;\ d&quot;일&quot;;@"/>
    <numFmt numFmtId="183" formatCode="0&quot;매&quot;"/>
  </numFmts>
  <fonts count="14" x14ac:knownFonts="1">
    <font>
      <sz val="11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8"/>
      <name val="맑은 고딕"/>
      <family val="3"/>
      <charset val="129"/>
    </font>
    <font>
      <b/>
      <sz val="26"/>
      <color indexed="8"/>
      <name val="맑은 고딕"/>
      <family val="3"/>
      <charset val="129"/>
    </font>
    <font>
      <sz val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8"/>
      <color indexed="8"/>
      <name val="맑은 고딕"/>
      <family val="3"/>
      <charset val="129"/>
    </font>
    <font>
      <b/>
      <sz val="8"/>
      <color indexed="8"/>
      <name val="맑은 고딕"/>
      <family val="3"/>
      <charset val="129"/>
    </font>
    <font>
      <sz val="9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b/>
      <sz val="6"/>
      <color indexed="8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5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2" fillId="0" borderId="0" applyFont="0" applyFill="0" applyBorder="0" applyAlignment="0" applyProtection="0">
      <alignment vertical="center"/>
    </xf>
  </cellStyleXfs>
  <cellXfs count="149">
    <xf numFmtId="0" fontId="0" fillId="0" borderId="0" xfId="0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left"/>
    </xf>
    <xf numFmtId="0" fontId="2" fillId="0" borderId="0" xfId="0" applyFont="1" applyAlignment="1"/>
    <xf numFmtId="176" fontId="8" fillId="0" borderId="0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176" fontId="8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textRotation="255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177" fontId="9" fillId="0" borderId="0" xfId="0" applyNumberFormat="1" applyFont="1">
      <alignment vertical="center"/>
    </xf>
    <xf numFmtId="178" fontId="9" fillId="0" borderId="0" xfId="0" applyNumberFormat="1" applyFont="1">
      <alignment vertical="center"/>
    </xf>
    <xf numFmtId="177" fontId="11" fillId="0" borderId="0" xfId="0" applyNumberFormat="1" applyFont="1">
      <alignment vertical="center"/>
    </xf>
    <xf numFmtId="0" fontId="7" fillId="0" borderId="6" xfId="0" applyFont="1" applyBorder="1">
      <alignment vertical="center"/>
    </xf>
    <xf numFmtId="0" fontId="7" fillId="0" borderId="7" xfId="0" applyFont="1" applyBorder="1">
      <alignment vertical="center"/>
    </xf>
    <xf numFmtId="177" fontId="9" fillId="0" borderId="0" xfId="0" applyNumberFormat="1" applyFont="1" applyAlignment="1">
      <alignment horizontal="right" vertical="center"/>
    </xf>
    <xf numFmtId="41" fontId="11" fillId="0" borderId="0" xfId="0" applyNumberFormat="1" applyFo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>
      <alignment vertical="center"/>
    </xf>
    <xf numFmtId="0" fontId="7" fillId="0" borderId="8" xfId="0" applyFont="1" applyBorder="1" applyAlignment="1">
      <alignment horizontal="center" vertical="center"/>
    </xf>
    <xf numFmtId="0" fontId="7" fillId="0" borderId="8" xfId="0" applyFont="1" applyBorder="1">
      <alignment vertical="center"/>
    </xf>
    <xf numFmtId="0" fontId="7" fillId="0" borderId="9" xfId="0" applyFont="1" applyBorder="1">
      <alignment vertical="center"/>
    </xf>
    <xf numFmtId="0" fontId="7" fillId="0" borderId="1" xfId="0" applyFont="1" applyBorder="1">
      <alignment vertical="center"/>
    </xf>
    <xf numFmtId="0" fontId="7" fillId="0" borderId="2" xfId="0" applyFont="1" applyBorder="1">
      <alignment vertical="center"/>
    </xf>
    <xf numFmtId="0" fontId="10" fillId="0" borderId="0" xfId="0" applyFont="1">
      <alignment vertical="center"/>
    </xf>
    <xf numFmtId="0" fontId="10" fillId="0" borderId="0" xfId="0" applyFont="1" applyBorder="1">
      <alignment vertical="center"/>
    </xf>
    <xf numFmtId="0" fontId="6" fillId="0" borderId="0" xfId="0" applyFont="1" applyBorder="1">
      <alignment vertical="center"/>
    </xf>
    <xf numFmtId="0" fontId="7" fillId="0" borderId="10" xfId="0" applyFont="1" applyBorder="1" applyAlignment="1">
      <alignment vertical="center"/>
    </xf>
    <xf numFmtId="0" fontId="13" fillId="0" borderId="0" xfId="0" applyFont="1">
      <alignment vertical="center"/>
    </xf>
    <xf numFmtId="0" fontId="2" fillId="0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176" fontId="1" fillId="0" borderId="0" xfId="0" applyNumberFormat="1" applyFont="1" applyAlignment="1">
      <alignment horizontal="center"/>
    </xf>
    <xf numFmtId="176" fontId="8" fillId="0" borderId="0" xfId="0" applyNumberFormat="1" applyFont="1" applyAlignment="1">
      <alignment horizontal="center"/>
    </xf>
    <xf numFmtId="176" fontId="8" fillId="0" borderId="0" xfId="0" applyNumberFormat="1" applyFont="1" applyBorder="1" applyAlignment="1">
      <alignment horizontal="center"/>
    </xf>
    <xf numFmtId="0" fontId="6" fillId="0" borderId="53" xfId="0" applyFont="1" applyBorder="1" applyAlignment="1">
      <alignment horizontal="center" vertical="center" textRotation="255"/>
    </xf>
    <xf numFmtId="0" fontId="6" fillId="0" borderId="53" xfId="0" applyFont="1" applyBorder="1" applyAlignment="1">
      <alignment horizontal="center"/>
    </xf>
    <xf numFmtId="0" fontId="6" fillId="0" borderId="53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 shrinkToFit="1"/>
    </xf>
    <xf numFmtId="0" fontId="7" fillId="0" borderId="49" xfId="0" applyFont="1" applyBorder="1" applyAlignment="1">
      <alignment horizontal="center" vertical="center" shrinkToFit="1"/>
    </xf>
    <xf numFmtId="0" fontId="7" fillId="0" borderId="52" xfId="0" applyFont="1" applyBorder="1" applyAlignment="1">
      <alignment horizontal="center" vertical="center" shrinkToFit="1"/>
    </xf>
    <xf numFmtId="0" fontId="10" fillId="0" borderId="48" xfId="0" applyFont="1" applyBorder="1" applyAlignment="1">
      <alignment horizontal="center" vertical="center" shrinkToFit="1"/>
    </xf>
    <xf numFmtId="0" fontId="10" fillId="0" borderId="49" xfId="0" applyFont="1" applyBorder="1" applyAlignment="1">
      <alignment horizontal="center" vertical="center" shrinkToFit="1"/>
    </xf>
    <xf numFmtId="0" fontId="10" fillId="0" borderId="52" xfId="0" applyFont="1" applyBorder="1" applyAlignment="1">
      <alignment horizontal="center" vertical="center" shrinkToFit="1"/>
    </xf>
    <xf numFmtId="0" fontId="7" fillId="0" borderId="2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49" fontId="10" fillId="0" borderId="21" xfId="0" applyNumberFormat="1" applyFont="1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/>
    </xf>
    <xf numFmtId="49" fontId="10" fillId="0" borderId="12" xfId="0" applyNumberFormat="1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6" fontId="7" fillId="0" borderId="22" xfId="1" applyNumberFormat="1" applyFont="1" applyBorder="1" applyAlignment="1">
      <alignment horizontal="center" vertical="center"/>
    </xf>
    <xf numFmtId="41" fontId="7" fillId="0" borderId="22" xfId="1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41" fontId="7" fillId="0" borderId="13" xfId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41" fontId="7" fillId="0" borderId="11" xfId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41" fontId="7" fillId="0" borderId="7" xfId="0" applyNumberFormat="1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177" fontId="9" fillId="0" borderId="0" xfId="0" applyNumberFormat="1" applyFont="1" applyAlignment="1">
      <alignment horizontal="right" vertical="center"/>
    </xf>
    <xf numFmtId="3" fontId="7" fillId="0" borderId="19" xfId="0" applyNumberFormat="1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9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3" fontId="7" fillId="0" borderId="47" xfId="0" applyNumberFormat="1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183" fontId="11" fillId="0" borderId="42" xfId="0" applyNumberFormat="1" applyFont="1" applyBorder="1" applyAlignment="1">
      <alignment horizontal="right" vertical="center"/>
    </xf>
    <xf numFmtId="0" fontId="7" fillId="0" borderId="17" xfId="0" applyFont="1" applyBorder="1" applyAlignment="1">
      <alignment horizontal="center" vertical="center" shrinkToFit="1"/>
    </xf>
    <xf numFmtId="0" fontId="7" fillId="0" borderId="18" xfId="0" applyFont="1" applyBorder="1" applyAlignment="1">
      <alignment horizontal="center" vertical="center" shrinkToFit="1"/>
    </xf>
    <xf numFmtId="0" fontId="7" fillId="0" borderId="41" xfId="0" applyFont="1" applyBorder="1" applyAlignment="1">
      <alignment horizontal="center" vertical="center" shrinkToFit="1"/>
    </xf>
    <xf numFmtId="20" fontId="7" fillId="0" borderId="11" xfId="0" applyNumberFormat="1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 shrinkToFit="1"/>
    </xf>
    <xf numFmtId="0" fontId="7" fillId="0" borderId="40" xfId="0" applyFont="1" applyBorder="1" applyAlignment="1">
      <alignment horizontal="center" vertical="center" shrinkToFit="1"/>
    </xf>
    <xf numFmtId="0" fontId="7" fillId="0" borderId="21" xfId="0" applyFont="1" applyBorder="1" applyAlignment="1">
      <alignment horizontal="center" vertical="center" shrinkToFit="1"/>
    </xf>
    <xf numFmtId="0" fontId="10" fillId="0" borderId="3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41" fontId="7" fillId="0" borderId="31" xfId="1" applyFont="1" applyBorder="1" applyAlignment="1">
      <alignment horizontal="center" vertical="center"/>
    </xf>
    <xf numFmtId="183" fontId="11" fillId="0" borderId="33" xfId="0" applyNumberFormat="1" applyFont="1" applyBorder="1" applyAlignment="1">
      <alignment horizontal="right" vertical="center"/>
    </xf>
    <xf numFmtId="183" fontId="7" fillId="0" borderId="26" xfId="0" applyNumberFormat="1" applyFont="1" applyFill="1" applyBorder="1" applyAlignment="1">
      <alignment horizontal="right" vertical="center"/>
    </xf>
    <xf numFmtId="183" fontId="7" fillId="0" borderId="27" xfId="0" applyNumberFormat="1" applyFont="1" applyFill="1" applyBorder="1" applyAlignment="1">
      <alignment horizontal="right" vertical="center"/>
    </xf>
    <xf numFmtId="0" fontId="7" fillId="0" borderId="22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183" fontId="7" fillId="0" borderId="4" xfId="0" applyNumberFormat="1" applyFont="1" applyBorder="1" applyAlignment="1">
      <alignment horizontal="right" vertical="center"/>
    </xf>
    <xf numFmtId="183" fontId="7" fillId="0" borderId="16" xfId="0" applyNumberFormat="1" applyFont="1" applyBorder="1" applyAlignment="1">
      <alignment horizontal="right" vertical="center"/>
    </xf>
    <xf numFmtId="183" fontId="7" fillId="0" borderId="4" xfId="0" applyNumberFormat="1" applyFont="1" applyFill="1" applyBorder="1" applyAlignment="1">
      <alignment horizontal="right" vertical="center"/>
    </xf>
    <xf numFmtId="183" fontId="7" fillId="0" borderId="16" xfId="0" applyNumberFormat="1" applyFont="1" applyFill="1" applyBorder="1" applyAlignment="1">
      <alignment horizontal="right" vertical="center"/>
    </xf>
    <xf numFmtId="183" fontId="7" fillId="0" borderId="13" xfId="1" applyNumberFormat="1" applyFont="1" applyBorder="1" applyAlignment="1">
      <alignment horizontal="right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BC10A-6878-4989-BA1C-46C9835675F9}">
  <sheetPr>
    <tabColor rgb="FFFF0000"/>
  </sheetPr>
  <dimension ref="A1:X51"/>
  <sheetViews>
    <sheetView tabSelected="1" view="pageBreakPreview" zoomScale="70" zoomScaleNormal="100" zoomScaleSheetLayoutView="70" workbookViewId="0">
      <selection activeCell="N8" sqref="N8:S8"/>
    </sheetView>
  </sheetViews>
  <sheetFormatPr defaultColWidth="4.59765625" defaultRowHeight="15.6" x14ac:dyDescent="0.4"/>
  <cols>
    <col min="1" max="1" width="1.69921875" style="1" customWidth="1"/>
    <col min="2" max="19" width="4.8984375" style="1" customWidth="1"/>
    <col min="20" max="20" width="6.5" style="1" customWidth="1"/>
    <col min="21" max="21" width="19.59765625" style="1" customWidth="1"/>
    <col min="22" max="22" width="4.59765625" style="1"/>
    <col min="23" max="23" width="13.3984375" style="1" customWidth="1"/>
    <col min="24" max="24" width="4.59765625" style="1"/>
    <col min="25" max="25" width="32" style="1" customWidth="1"/>
    <col min="26" max="16384" width="4.59765625" style="1"/>
  </cols>
  <sheetData>
    <row r="1" spans="1:21" ht="29.25" customHeight="1" x14ac:dyDescent="0.4"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2"/>
      <c r="O1" s="2"/>
      <c r="P1" s="2"/>
      <c r="Q1" s="2"/>
      <c r="R1" s="2"/>
      <c r="S1" s="2"/>
    </row>
    <row r="2" spans="1:21" s="4" customFormat="1" ht="18" customHeight="1" x14ac:dyDescent="0.35">
      <c r="A2" s="41"/>
      <c r="B2" s="41"/>
      <c r="C2" s="41"/>
      <c r="D2" s="41"/>
      <c r="E2" s="41"/>
      <c r="F2" s="42" t="s">
        <v>86</v>
      </c>
      <c r="G2" s="43"/>
      <c r="H2" s="43"/>
      <c r="I2" s="43"/>
      <c r="J2" s="43"/>
      <c r="K2" s="43"/>
      <c r="L2" s="44"/>
      <c r="M2" s="45" t="s">
        <v>0</v>
      </c>
      <c r="N2" s="46" t="s">
        <v>1</v>
      </c>
      <c r="O2" s="46"/>
      <c r="P2" s="46" t="s">
        <v>2</v>
      </c>
      <c r="Q2" s="46"/>
      <c r="R2" s="46" t="s">
        <v>3</v>
      </c>
      <c r="S2" s="46"/>
    </row>
    <row r="3" spans="1:21" s="2" customFormat="1" ht="32.25" customHeight="1" x14ac:dyDescent="0.4">
      <c r="A3" s="41"/>
      <c r="B3" s="41"/>
      <c r="C3" s="41"/>
      <c r="D3" s="41"/>
      <c r="E3" s="41"/>
      <c r="F3" s="44"/>
      <c r="G3" s="44"/>
      <c r="H3" s="44"/>
      <c r="I3" s="44"/>
      <c r="J3" s="44"/>
      <c r="K3" s="44"/>
      <c r="L3" s="44"/>
      <c r="M3" s="45"/>
      <c r="N3" s="46"/>
      <c r="O3" s="46"/>
      <c r="P3" s="47"/>
      <c r="Q3" s="47"/>
      <c r="R3" s="47"/>
      <c r="S3" s="47"/>
    </row>
    <row r="4" spans="1:21" s="2" customFormat="1" ht="13.5" customHeight="1" x14ac:dyDescent="0.3">
      <c r="A4" s="3" t="s">
        <v>4</v>
      </c>
      <c r="B4" s="3"/>
      <c r="C4" s="3"/>
      <c r="D4" s="3"/>
      <c r="E4" s="3"/>
      <c r="F4" s="5"/>
      <c r="G4" s="5"/>
      <c r="H4" s="5"/>
      <c r="I4" s="5"/>
      <c r="J4" s="5"/>
      <c r="K4" s="5"/>
      <c r="L4" s="5"/>
      <c r="M4" s="45"/>
      <c r="N4" s="46"/>
      <c r="O4" s="46"/>
      <c r="P4" s="47"/>
      <c r="Q4" s="47"/>
      <c r="R4" s="47"/>
      <c r="S4" s="47"/>
    </row>
    <row r="5" spans="1:21" s="2" customFormat="1" ht="3.75" customHeight="1" x14ac:dyDescent="0.35">
      <c r="A5" s="3"/>
      <c r="B5" s="3"/>
      <c r="C5" s="3"/>
      <c r="D5" s="3"/>
      <c r="E5" s="6"/>
      <c r="F5" s="7"/>
      <c r="G5" s="7"/>
      <c r="H5" s="7"/>
      <c r="I5" s="7"/>
      <c r="J5" s="7"/>
      <c r="K5" s="7"/>
      <c r="L5" s="7"/>
      <c r="M5" s="8"/>
      <c r="N5" s="9"/>
      <c r="O5" s="9"/>
      <c r="P5" s="10"/>
      <c r="Q5" s="10"/>
      <c r="R5" s="10"/>
      <c r="S5" s="11"/>
    </row>
    <row r="6" spans="1:21" s="12" customFormat="1" ht="17.100000000000001" customHeight="1" x14ac:dyDescent="0.4">
      <c r="B6" s="48" t="s">
        <v>5</v>
      </c>
      <c r="C6" s="49"/>
      <c r="D6" s="50"/>
      <c r="E6" s="51" t="s">
        <v>70</v>
      </c>
      <c r="F6" s="49"/>
      <c r="G6" s="49"/>
      <c r="H6" s="49"/>
      <c r="I6" s="49"/>
      <c r="J6" s="52"/>
      <c r="K6" s="48" t="s">
        <v>6</v>
      </c>
      <c r="L6" s="49"/>
      <c r="M6" s="50"/>
      <c r="N6" s="53"/>
      <c r="O6" s="54"/>
      <c r="P6" s="54"/>
      <c r="Q6" s="54"/>
      <c r="R6" s="54"/>
      <c r="S6" s="55"/>
    </row>
    <row r="7" spans="1:21" s="12" customFormat="1" ht="17.100000000000001" customHeight="1" x14ac:dyDescent="0.4">
      <c r="B7" s="56" t="s">
        <v>7</v>
      </c>
      <c r="C7" s="57"/>
      <c r="D7" s="58"/>
      <c r="E7" s="59" t="s">
        <v>74</v>
      </c>
      <c r="F7" s="57"/>
      <c r="G7" s="57"/>
      <c r="H7" s="57"/>
      <c r="I7" s="57"/>
      <c r="J7" s="60"/>
      <c r="K7" s="56" t="s">
        <v>8</v>
      </c>
      <c r="L7" s="57"/>
      <c r="M7" s="58"/>
      <c r="N7" s="61" t="s">
        <v>72</v>
      </c>
      <c r="O7" s="62"/>
      <c r="P7" s="62"/>
      <c r="Q7" s="62"/>
      <c r="R7" s="62"/>
      <c r="S7" s="63"/>
    </row>
    <row r="8" spans="1:21" s="12" customFormat="1" ht="17.100000000000001" customHeight="1" x14ac:dyDescent="0.4">
      <c r="B8" s="56" t="s">
        <v>9</v>
      </c>
      <c r="C8" s="57"/>
      <c r="D8" s="58"/>
      <c r="E8" s="64" t="s">
        <v>71</v>
      </c>
      <c r="F8" s="65"/>
      <c r="G8" s="65"/>
      <c r="H8" s="65"/>
      <c r="I8" s="65"/>
      <c r="J8" s="66"/>
      <c r="K8" s="56" t="s">
        <v>10</v>
      </c>
      <c r="L8" s="57"/>
      <c r="M8" s="58"/>
      <c r="N8" s="67" t="s">
        <v>75</v>
      </c>
      <c r="O8" s="68"/>
      <c r="P8" s="68"/>
      <c r="Q8" s="68"/>
      <c r="R8" s="68"/>
      <c r="S8" s="69"/>
    </row>
    <row r="9" spans="1:21" s="12" customFormat="1" ht="17.100000000000001" customHeight="1" x14ac:dyDescent="0.4">
      <c r="B9" s="70" t="s">
        <v>11</v>
      </c>
      <c r="C9" s="71"/>
      <c r="D9" s="72"/>
      <c r="E9" s="73" t="s">
        <v>83</v>
      </c>
      <c r="F9" s="71"/>
      <c r="G9" s="71"/>
      <c r="H9" s="71"/>
      <c r="I9" s="71"/>
      <c r="J9" s="74"/>
      <c r="K9" s="70" t="s">
        <v>12</v>
      </c>
      <c r="L9" s="71"/>
      <c r="M9" s="72"/>
      <c r="N9" s="75" t="s">
        <v>76</v>
      </c>
      <c r="O9" s="76"/>
      <c r="P9" s="76"/>
      <c r="Q9" s="76"/>
      <c r="R9" s="76"/>
      <c r="S9" s="77"/>
    </row>
    <row r="10" spans="1:21" s="16" customFormat="1" ht="3" customHeight="1" x14ac:dyDescent="0.4"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</row>
    <row r="11" spans="1:21" s="2" customFormat="1" ht="23.1" customHeight="1" x14ac:dyDescent="0.4">
      <c r="A11" s="18" t="s">
        <v>13</v>
      </c>
    </row>
    <row r="12" spans="1:21" s="12" customFormat="1" ht="17.100000000000001" customHeight="1" x14ac:dyDescent="0.4">
      <c r="B12" s="78" t="s">
        <v>14</v>
      </c>
      <c r="C12" s="79"/>
      <c r="D12" s="79"/>
      <c r="E12" s="79" t="s">
        <v>15</v>
      </c>
      <c r="F12" s="79"/>
      <c r="G12" s="79"/>
      <c r="H12" s="79" t="s">
        <v>16</v>
      </c>
      <c r="I12" s="79"/>
      <c r="J12" s="79"/>
      <c r="K12" s="79" t="s">
        <v>17</v>
      </c>
      <c r="L12" s="79"/>
      <c r="M12" s="79"/>
      <c r="N12" s="79" t="s">
        <v>18</v>
      </c>
      <c r="O12" s="79"/>
      <c r="P12" s="79"/>
      <c r="Q12" s="79" t="s">
        <v>19</v>
      </c>
      <c r="R12" s="79"/>
      <c r="S12" s="80"/>
    </row>
    <row r="13" spans="1:21" s="12" customFormat="1" ht="17.100000000000001" customHeight="1" x14ac:dyDescent="0.4">
      <c r="B13" s="81" t="s">
        <v>20</v>
      </c>
      <c r="C13" s="82"/>
      <c r="D13" s="51"/>
      <c r="E13" s="83" t="s">
        <v>73</v>
      </c>
      <c r="F13" s="83"/>
      <c r="G13" s="83"/>
      <c r="H13" s="52">
        <v>88</v>
      </c>
      <c r="I13" s="82"/>
      <c r="J13" s="51"/>
      <c r="K13" s="84">
        <v>25000</v>
      </c>
      <c r="L13" s="85"/>
      <c r="M13" s="85"/>
      <c r="N13" s="85"/>
      <c r="O13" s="85"/>
      <c r="P13" s="85"/>
      <c r="Q13" s="84">
        <f>H13*K13</f>
        <v>2200000</v>
      </c>
      <c r="R13" s="85"/>
      <c r="S13" s="85"/>
    </row>
    <row r="14" spans="1:21" s="12" customFormat="1" ht="17.100000000000001" customHeight="1" x14ac:dyDescent="0.4">
      <c r="B14" s="86" t="s">
        <v>21</v>
      </c>
      <c r="C14" s="87"/>
      <c r="D14" s="88"/>
      <c r="E14" s="83"/>
      <c r="F14" s="83"/>
      <c r="G14" s="83"/>
      <c r="H14" s="60"/>
      <c r="I14" s="87"/>
      <c r="J14" s="88"/>
      <c r="K14" s="89"/>
      <c r="L14" s="89"/>
      <c r="M14" s="89"/>
      <c r="N14" s="89"/>
      <c r="O14" s="89"/>
      <c r="P14" s="89"/>
      <c r="Q14" s="90"/>
      <c r="R14" s="57"/>
      <c r="S14" s="58"/>
      <c r="U14" s="19"/>
    </row>
    <row r="15" spans="1:21" s="12" customFormat="1" ht="17.100000000000001" customHeight="1" x14ac:dyDescent="0.4">
      <c r="B15" s="86" t="s">
        <v>22</v>
      </c>
      <c r="C15" s="87"/>
      <c r="D15" s="88"/>
      <c r="E15" s="83"/>
      <c r="F15" s="83"/>
      <c r="G15" s="83"/>
      <c r="H15" s="60"/>
      <c r="I15" s="87"/>
      <c r="J15" s="88"/>
      <c r="K15" s="89"/>
      <c r="L15" s="89"/>
      <c r="M15" s="89"/>
      <c r="N15" s="89"/>
      <c r="O15" s="89"/>
      <c r="P15" s="89"/>
      <c r="Q15" s="90"/>
      <c r="R15" s="57"/>
      <c r="S15" s="58"/>
      <c r="U15" s="19"/>
    </row>
    <row r="16" spans="1:21" s="12" customFormat="1" ht="17.100000000000001" customHeight="1" x14ac:dyDescent="0.4">
      <c r="B16" s="70" t="s">
        <v>23</v>
      </c>
      <c r="C16" s="71"/>
      <c r="D16" s="71"/>
      <c r="E16" s="71"/>
      <c r="F16" s="71"/>
      <c r="G16" s="71"/>
      <c r="H16" s="74"/>
      <c r="I16" s="91"/>
      <c r="J16" s="73"/>
      <c r="K16" s="92"/>
      <c r="L16" s="92"/>
      <c r="M16" s="92"/>
      <c r="N16" s="92"/>
      <c r="O16" s="92"/>
      <c r="P16" s="92"/>
      <c r="Q16" s="93"/>
      <c r="R16" s="71"/>
      <c r="S16" s="72"/>
      <c r="T16" s="20"/>
      <c r="U16" s="19"/>
    </row>
    <row r="17" spans="1:23" s="16" customFormat="1" ht="3.75" customHeight="1" x14ac:dyDescent="0.4"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U17" s="21"/>
    </row>
    <row r="18" spans="1:23" s="16" customFormat="1" ht="16.5" customHeight="1" x14ac:dyDescent="0.4">
      <c r="B18" s="22" t="s">
        <v>24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95"/>
      <c r="O18" s="95"/>
      <c r="P18" s="95"/>
      <c r="Q18" s="97"/>
      <c r="R18" s="95"/>
      <c r="S18" s="98"/>
      <c r="T18" s="20"/>
      <c r="U18" s="100"/>
      <c r="W18" s="25"/>
    </row>
    <row r="19" spans="1:23" s="16" customFormat="1" ht="13.2" x14ac:dyDescent="0.4">
      <c r="B19" s="101" t="s">
        <v>87</v>
      </c>
      <c r="C19" s="96"/>
      <c r="D19" s="96"/>
      <c r="E19" s="96"/>
      <c r="F19" s="27"/>
      <c r="G19" s="27"/>
      <c r="H19" s="27"/>
      <c r="I19" s="27"/>
      <c r="J19" s="105"/>
      <c r="K19" s="96"/>
      <c r="L19" s="96"/>
      <c r="M19" s="96"/>
      <c r="N19" s="96"/>
      <c r="O19" s="96"/>
      <c r="P19" s="96"/>
      <c r="Q19" s="96"/>
      <c r="R19" s="96"/>
      <c r="S19" s="99"/>
      <c r="T19" s="20"/>
      <c r="U19" s="100"/>
    </row>
    <row r="20" spans="1:23" s="16" customFormat="1" ht="13.2" x14ac:dyDescent="0.4">
      <c r="B20" s="102"/>
      <c r="C20" s="96"/>
      <c r="D20" s="96"/>
      <c r="E20" s="96"/>
      <c r="F20" s="28"/>
      <c r="G20" s="28"/>
      <c r="H20" s="28"/>
      <c r="I20" s="28"/>
      <c r="J20" s="106"/>
      <c r="K20" s="96"/>
      <c r="L20" s="96"/>
      <c r="M20" s="96"/>
      <c r="N20" s="26"/>
      <c r="O20" s="26"/>
      <c r="P20" s="26"/>
      <c r="Q20" s="26"/>
      <c r="R20" s="26"/>
      <c r="S20" s="29"/>
      <c r="T20" s="20"/>
      <c r="U20" s="24"/>
    </row>
    <row r="21" spans="1:23" s="16" customFormat="1" ht="13.2" x14ac:dyDescent="0.4">
      <c r="B21" s="103"/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26"/>
      <c r="S21" s="29"/>
      <c r="T21" s="20"/>
      <c r="U21" s="24"/>
    </row>
    <row r="22" spans="1:23" s="16" customFormat="1" ht="13.2" x14ac:dyDescent="0.4">
      <c r="B22" s="103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26"/>
      <c r="S22" s="29"/>
      <c r="T22" s="20"/>
      <c r="U22" s="24"/>
    </row>
    <row r="23" spans="1:23" s="16" customFormat="1" ht="13.2" x14ac:dyDescent="0.4">
      <c r="B23" s="103"/>
      <c r="C23" s="104"/>
      <c r="D23" s="104"/>
      <c r="E23" s="104"/>
      <c r="F23" s="104"/>
      <c r="G23" s="104"/>
      <c r="H23" s="104"/>
      <c r="I23" s="104"/>
      <c r="J23" s="28"/>
      <c r="K23" s="104"/>
      <c r="L23" s="104"/>
      <c r="M23" s="104"/>
      <c r="N23" s="104"/>
      <c r="O23" s="104"/>
      <c r="P23" s="104"/>
      <c r="Q23" s="104"/>
      <c r="R23" s="104"/>
      <c r="S23" s="30"/>
    </row>
    <row r="24" spans="1:23" s="16" customFormat="1" ht="13.2" x14ac:dyDescent="0.4">
      <c r="B24" s="103"/>
      <c r="C24" s="104"/>
      <c r="D24" s="104"/>
      <c r="E24" s="104"/>
      <c r="F24" s="104"/>
      <c r="G24" s="104"/>
      <c r="H24" s="104"/>
      <c r="I24" s="104"/>
      <c r="J24" s="28"/>
      <c r="K24" s="104"/>
      <c r="L24" s="104"/>
      <c r="M24" s="104"/>
      <c r="N24" s="104"/>
      <c r="O24" s="104"/>
      <c r="P24" s="104"/>
      <c r="Q24" s="104"/>
      <c r="R24" s="104"/>
      <c r="S24" s="30"/>
    </row>
    <row r="25" spans="1:23" s="16" customFormat="1" ht="13.2" x14ac:dyDescent="0.4"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3"/>
    </row>
    <row r="26" spans="1:23" s="16" customFormat="1" ht="3" customHeight="1" x14ac:dyDescent="0.4"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</row>
    <row r="27" spans="1:23" s="2" customFormat="1" ht="16.5" customHeight="1" x14ac:dyDescent="0.4">
      <c r="A27" s="18" t="s">
        <v>25</v>
      </c>
    </row>
    <row r="28" spans="1:23" s="12" customFormat="1" ht="25.5" customHeight="1" x14ac:dyDescent="0.4">
      <c r="B28" s="78"/>
      <c r="C28" s="79"/>
      <c r="D28" s="79"/>
      <c r="E28" s="79" t="s">
        <v>26</v>
      </c>
      <c r="F28" s="79"/>
      <c r="G28" s="79"/>
      <c r="H28" s="107" t="s">
        <v>27</v>
      </c>
      <c r="I28" s="79"/>
      <c r="J28" s="79"/>
      <c r="K28" s="107" t="s">
        <v>28</v>
      </c>
      <c r="L28" s="79"/>
      <c r="M28" s="79"/>
      <c r="N28" s="107" t="s">
        <v>29</v>
      </c>
      <c r="O28" s="79"/>
      <c r="P28" s="79"/>
      <c r="Q28" s="107" t="s">
        <v>30</v>
      </c>
      <c r="R28" s="79"/>
      <c r="S28" s="80"/>
    </row>
    <row r="29" spans="1:23" s="12" customFormat="1" ht="19.5" customHeight="1" x14ac:dyDescent="0.4">
      <c r="B29" s="48" t="s">
        <v>31</v>
      </c>
      <c r="C29" s="49"/>
      <c r="D29" s="49"/>
      <c r="E29" s="108" t="s">
        <v>32</v>
      </c>
      <c r="F29" s="108"/>
      <c r="G29" s="108"/>
      <c r="H29" s="108" t="s">
        <v>32</v>
      </c>
      <c r="I29" s="108"/>
      <c r="J29" s="108"/>
      <c r="K29" s="108" t="s">
        <v>33</v>
      </c>
      <c r="L29" s="108"/>
      <c r="M29" s="108"/>
      <c r="N29" s="108" t="s">
        <v>34</v>
      </c>
      <c r="O29" s="108"/>
      <c r="P29" s="108"/>
      <c r="Q29" s="49"/>
      <c r="R29" s="49"/>
      <c r="S29" s="50"/>
    </row>
    <row r="30" spans="1:23" s="12" customFormat="1" ht="19.5" customHeight="1" x14ac:dyDescent="0.4">
      <c r="B30" s="70" t="s">
        <v>35</v>
      </c>
      <c r="C30" s="71"/>
      <c r="D30" s="71"/>
      <c r="E30" s="109" t="s">
        <v>32</v>
      </c>
      <c r="F30" s="109"/>
      <c r="G30" s="109"/>
      <c r="H30" s="109" t="s">
        <v>32</v>
      </c>
      <c r="I30" s="109"/>
      <c r="J30" s="109"/>
      <c r="K30" s="109" t="s">
        <v>33</v>
      </c>
      <c r="L30" s="109"/>
      <c r="M30" s="109"/>
      <c r="N30" s="109" t="s">
        <v>34</v>
      </c>
      <c r="O30" s="109"/>
      <c r="P30" s="109"/>
      <c r="Q30" s="71"/>
      <c r="R30" s="71"/>
      <c r="S30" s="72"/>
    </row>
    <row r="31" spans="1:23" s="16" customFormat="1" ht="2.25" customHeight="1" x14ac:dyDescent="0.4"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</row>
    <row r="32" spans="1:23" s="2" customFormat="1" ht="17.100000000000001" customHeight="1" x14ac:dyDescent="0.4">
      <c r="A32" s="18" t="s">
        <v>36</v>
      </c>
    </row>
    <row r="33" spans="1:24" s="34" customFormat="1" ht="17.100000000000001" customHeight="1" x14ac:dyDescent="0.4">
      <c r="B33" s="78" t="s">
        <v>37</v>
      </c>
      <c r="C33" s="79"/>
      <c r="D33" s="79" t="s">
        <v>38</v>
      </c>
      <c r="E33" s="79"/>
      <c r="F33" s="79" t="s">
        <v>39</v>
      </c>
      <c r="G33" s="79"/>
      <c r="H33" s="79" t="s">
        <v>40</v>
      </c>
      <c r="I33" s="79"/>
      <c r="J33" s="79" t="s">
        <v>41</v>
      </c>
      <c r="K33" s="79"/>
      <c r="L33" s="79" t="s">
        <v>42</v>
      </c>
      <c r="M33" s="79"/>
      <c r="N33" s="79" t="s">
        <v>43</v>
      </c>
      <c r="O33" s="79"/>
      <c r="P33" s="79" t="s">
        <v>44</v>
      </c>
      <c r="Q33" s="79"/>
      <c r="R33" s="79" t="s">
        <v>45</v>
      </c>
      <c r="S33" s="80"/>
    </row>
    <row r="34" spans="1:24" s="34" customFormat="1" ht="17.100000000000001" customHeight="1" x14ac:dyDescent="0.4">
      <c r="B34" s="110" t="s">
        <v>46</v>
      </c>
      <c r="C34" s="109"/>
      <c r="D34" s="111">
        <v>1</v>
      </c>
      <c r="E34" s="111"/>
      <c r="F34" s="111">
        <v>0</v>
      </c>
      <c r="G34" s="111"/>
      <c r="H34" s="111">
        <v>0</v>
      </c>
      <c r="I34" s="111"/>
      <c r="J34" s="111">
        <v>0</v>
      </c>
      <c r="K34" s="111"/>
      <c r="L34" s="111">
        <v>0</v>
      </c>
      <c r="M34" s="111"/>
      <c r="N34" s="111">
        <v>0</v>
      </c>
      <c r="O34" s="111"/>
      <c r="P34" s="111">
        <v>0</v>
      </c>
      <c r="Q34" s="111"/>
      <c r="R34" s="111">
        <f>SUM(D34:P34)</f>
        <v>1</v>
      </c>
      <c r="S34" s="111"/>
    </row>
    <row r="35" spans="1:24" s="18" customFormat="1" ht="5.25" customHeight="1" x14ac:dyDescent="0.4"/>
    <row r="36" spans="1:24" s="2" customFormat="1" ht="17.100000000000001" customHeight="1" x14ac:dyDescent="0.4">
      <c r="A36" s="18" t="s">
        <v>48</v>
      </c>
    </row>
    <row r="37" spans="1:24" s="34" customFormat="1" ht="17.100000000000001" customHeight="1" x14ac:dyDescent="0.4">
      <c r="B37" s="78" t="s">
        <v>49</v>
      </c>
      <c r="C37" s="79"/>
      <c r="D37" s="79"/>
      <c r="E37" s="79"/>
      <c r="F37" s="79" t="s">
        <v>50</v>
      </c>
      <c r="G37" s="79"/>
      <c r="H37" s="79"/>
      <c r="I37" s="79" t="s">
        <v>14</v>
      </c>
      <c r="J37" s="79"/>
      <c r="K37" s="79" t="s">
        <v>51</v>
      </c>
      <c r="L37" s="79"/>
      <c r="M37" s="79"/>
      <c r="N37" s="79" t="s">
        <v>52</v>
      </c>
      <c r="O37" s="79"/>
      <c r="P37" s="79"/>
      <c r="Q37" s="79" t="s">
        <v>30</v>
      </c>
      <c r="R37" s="79"/>
      <c r="S37" s="80"/>
    </row>
    <row r="38" spans="1:24" s="34" customFormat="1" ht="17.100000000000001" customHeight="1" x14ac:dyDescent="0.4">
      <c r="B38" s="112" t="s">
        <v>77</v>
      </c>
      <c r="C38" s="113"/>
      <c r="D38" s="113"/>
      <c r="E38" s="114"/>
      <c r="F38" s="83" t="s">
        <v>70</v>
      </c>
      <c r="G38" s="83"/>
      <c r="H38" s="83"/>
      <c r="I38" s="83" t="s">
        <v>80</v>
      </c>
      <c r="J38" s="83"/>
      <c r="K38" s="115" t="s">
        <v>88</v>
      </c>
      <c r="L38" s="71"/>
      <c r="M38" s="71"/>
      <c r="N38" s="83"/>
      <c r="O38" s="83"/>
      <c r="P38" s="83"/>
      <c r="Q38" s="83"/>
      <c r="R38" s="83"/>
      <c r="S38" s="116"/>
    </row>
    <row r="39" spans="1:24" s="34" customFormat="1" ht="17.100000000000001" customHeight="1" x14ac:dyDescent="0.4">
      <c r="B39" s="117" t="s">
        <v>78</v>
      </c>
      <c r="C39" s="118"/>
      <c r="D39" s="118"/>
      <c r="E39" s="119"/>
      <c r="F39" s="71" t="s">
        <v>79</v>
      </c>
      <c r="G39" s="71"/>
      <c r="H39" s="71"/>
      <c r="I39" s="71" t="s">
        <v>81</v>
      </c>
      <c r="J39" s="71"/>
      <c r="K39" s="115" t="s">
        <v>89</v>
      </c>
      <c r="L39" s="71"/>
      <c r="M39" s="71"/>
      <c r="N39" s="71"/>
      <c r="O39" s="71"/>
      <c r="P39" s="71"/>
      <c r="Q39" s="71" t="s">
        <v>90</v>
      </c>
      <c r="R39" s="71"/>
      <c r="S39" s="72"/>
    </row>
    <row r="40" spans="1:24" s="18" customFormat="1" ht="3.75" customHeight="1" x14ac:dyDescent="0.4">
      <c r="U40" s="120"/>
      <c r="V40" s="120"/>
      <c r="W40" s="120"/>
    </row>
    <row r="41" spans="1:24" s="2" customFormat="1" x14ac:dyDescent="0.4">
      <c r="A41" s="18" t="s">
        <v>53</v>
      </c>
      <c r="U41" s="35"/>
      <c r="V41" s="35"/>
      <c r="W41" s="35"/>
      <c r="X41" s="36"/>
    </row>
    <row r="42" spans="1:24" s="34" customFormat="1" ht="15.75" customHeight="1" x14ac:dyDescent="0.4">
      <c r="B42" s="121" t="s">
        <v>54</v>
      </c>
      <c r="C42" s="122"/>
      <c r="D42" s="123" t="s">
        <v>55</v>
      </c>
      <c r="E42" s="124"/>
      <c r="F42" s="124" t="s">
        <v>56</v>
      </c>
      <c r="G42" s="124"/>
      <c r="H42" s="37" t="s">
        <v>57</v>
      </c>
      <c r="I42" s="79" t="s">
        <v>58</v>
      </c>
      <c r="J42" s="79"/>
      <c r="K42" s="79" t="s">
        <v>59</v>
      </c>
      <c r="L42" s="79"/>
      <c r="M42" s="107" t="s">
        <v>60</v>
      </c>
      <c r="N42" s="107"/>
      <c r="O42" s="125" t="s">
        <v>61</v>
      </c>
      <c r="P42" s="125"/>
      <c r="Q42" s="107" t="s">
        <v>30</v>
      </c>
      <c r="R42" s="79"/>
      <c r="S42" s="80"/>
      <c r="U42" s="35"/>
      <c r="V42" s="35"/>
      <c r="W42" s="35"/>
      <c r="X42" s="35"/>
    </row>
    <row r="43" spans="1:24" s="34" customFormat="1" ht="17.25" customHeight="1" x14ac:dyDescent="0.4">
      <c r="B43" s="126" t="s">
        <v>20</v>
      </c>
      <c r="C43" s="95"/>
      <c r="D43" s="48" t="s">
        <v>82</v>
      </c>
      <c r="E43" s="49"/>
      <c r="F43" s="49" t="s">
        <v>68</v>
      </c>
      <c r="G43" s="49"/>
      <c r="H43" s="13" t="s">
        <v>47</v>
      </c>
      <c r="I43" s="52"/>
      <c r="J43" s="51"/>
      <c r="K43" s="127">
        <v>0</v>
      </c>
      <c r="L43" s="127"/>
      <c r="M43" s="128">
        <v>0</v>
      </c>
      <c r="N43" s="128"/>
      <c r="O43" s="129">
        <f>K43-M43</f>
        <v>0</v>
      </c>
      <c r="P43" s="130"/>
      <c r="Q43" s="131"/>
      <c r="R43" s="83"/>
      <c r="S43" s="116"/>
    </row>
    <row r="44" spans="1:24" s="34" customFormat="1" ht="18.75" customHeight="1" x14ac:dyDescent="0.4">
      <c r="B44" s="102"/>
      <c r="C44" s="96"/>
      <c r="D44" s="132" t="s">
        <v>84</v>
      </c>
      <c r="E44" s="133"/>
      <c r="F44" s="133" t="s">
        <v>69</v>
      </c>
      <c r="G44" s="133"/>
      <c r="H44" s="14" t="s">
        <v>47</v>
      </c>
      <c r="I44" s="60"/>
      <c r="J44" s="88"/>
      <c r="K44" s="89">
        <v>90</v>
      </c>
      <c r="L44" s="89"/>
      <c r="M44" s="134">
        <v>89</v>
      </c>
      <c r="N44" s="135"/>
      <c r="O44" s="136">
        <f>K44-M44</f>
        <v>1</v>
      </c>
      <c r="P44" s="137"/>
      <c r="Q44" s="131" t="s">
        <v>85</v>
      </c>
      <c r="R44" s="83"/>
      <c r="S44" s="116"/>
    </row>
    <row r="45" spans="1:24" s="34" customFormat="1" ht="18.75" customHeight="1" x14ac:dyDescent="0.4">
      <c r="B45" s="102"/>
      <c r="C45" s="96"/>
      <c r="D45" s="56"/>
      <c r="E45" s="57"/>
      <c r="F45" s="57" t="s">
        <v>68</v>
      </c>
      <c r="G45" s="57"/>
      <c r="H45" s="14" t="s">
        <v>47</v>
      </c>
      <c r="I45" s="60"/>
      <c r="J45" s="88"/>
      <c r="K45" s="89"/>
      <c r="L45" s="89"/>
      <c r="M45" s="138"/>
      <c r="N45" s="138"/>
      <c r="O45" s="136"/>
      <c r="P45" s="137"/>
      <c r="Q45" s="131"/>
      <c r="R45" s="83"/>
      <c r="S45" s="116"/>
    </row>
    <row r="46" spans="1:24" s="38" customFormat="1" ht="17.100000000000001" customHeight="1" x14ac:dyDescent="0.4">
      <c r="B46" s="139" t="s">
        <v>22</v>
      </c>
      <c r="C46" s="140"/>
      <c r="D46" s="56" t="s">
        <v>62</v>
      </c>
      <c r="E46" s="57"/>
      <c r="F46" s="57"/>
      <c r="G46" s="57"/>
      <c r="H46" s="14" t="s">
        <v>63</v>
      </c>
      <c r="I46" s="60"/>
      <c r="J46" s="88"/>
      <c r="K46" s="57"/>
      <c r="L46" s="57"/>
      <c r="M46" s="57"/>
      <c r="N46" s="57"/>
      <c r="O46" s="143"/>
      <c r="P46" s="143"/>
      <c r="Q46" s="144"/>
      <c r="R46" s="57"/>
      <c r="S46" s="58"/>
    </row>
    <row r="47" spans="1:24" s="38" customFormat="1" ht="17.100000000000001" customHeight="1" x14ac:dyDescent="0.4">
      <c r="B47" s="141"/>
      <c r="C47" s="142"/>
      <c r="D47" s="56" t="s">
        <v>64</v>
      </c>
      <c r="E47" s="57"/>
      <c r="F47" s="57"/>
      <c r="G47" s="57"/>
      <c r="H47" s="14" t="s">
        <v>63</v>
      </c>
      <c r="I47" s="60"/>
      <c r="J47" s="88"/>
      <c r="K47" s="57"/>
      <c r="L47" s="57"/>
      <c r="M47" s="57"/>
      <c r="N47" s="57"/>
      <c r="O47" s="143"/>
      <c r="P47" s="143"/>
      <c r="Q47" s="144"/>
      <c r="R47" s="57"/>
      <c r="S47" s="58"/>
    </row>
    <row r="48" spans="1:24" s="34" customFormat="1" ht="15.75" customHeight="1" x14ac:dyDescent="0.4">
      <c r="B48" s="139" t="s">
        <v>23</v>
      </c>
      <c r="C48" s="140"/>
      <c r="D48" s="56" t="s">
        <v>65</v>
      </c>
      <c r="E48" s="57"/>
      <c r="F48" s="57"/>
      <c r="G48" s="57"/>
      <c r="H48" s="14" t="s">
        <v>63</v>
      </c>
      <c r="I48" s="60"/>
      <c r="J48" s="88"/>
      <c r="K48" s="57"/>
      <c r="L48" s="57"/>
      <c r="M48" s="57"/>
      <c r="N48" s="57"/>
      <c r="O48" s="143"/>
      <c r="P48" s="143"/>
      <c r="Q48" s="144"/>
      <c r="R48" s="57"/>
      <c r="S48" s="58"/>
    </row>
    <row r="49" spans="2:19" s="34" customFormat="1" ht="15.75" customHeight="1" x14ac:dyDescent="0.4">
      <c r="B49" s="102"/>
      <c r="C49" s="96"/>
      <c r="D49" s="56" t="s">
        <v>66</v>
      </c>
      <c r="E49" s="57"/>
      <c r="F49" s="57"/>
      <c r="G49" s="57"/>
      <c r="H49" s="14" t="s">
        <v>63</v>
      </c>
      <c r="I49" s="60"/>
      <c r="J49" s="88"/>
      <c r="K49" s="57"/>
      <c r="L49" s="57"/>
      <c r="M49" s="57"/>
      <c r="N49" s="57"/>
      <c r="O49" s="143"/>
      <c r="P49" s="143"/>
      <c r="Q49" s="144"/>
      <c r="R49" s="57"/>
      <c r="S49" s="58"/>
    </row>
    <row r="50" spans="2:19" s="34" customFormat="1" ht="15.75" customHeight="1" x14ac:dyDescent="0.4">
      <c r="B50" s="145"/>
      <c r="C50" s="146"/>
      <c r="D50" s="70" t="s">
        <v>67</v>
      </c>
      <c r="E50" s="71"/>
      <c r="F50" s="71"/>
      <c r="G50" s="71"/>
      <c r="H50" s="15" t="s">
        <v>63</v>
      </c>
      <c r="I50" s="74"/>
      <c r="J50" s="73"/>
      <c r="K50" s="71"/>
      <c r="L50" s="71"/>
      <c r="M50" s="71"/>
      <c r="N50" s="71"/>
      <c r="O50" s="147"/>
      <c r="P50" s="147"/>
      <c r="Q50" s="148"/>
      <c r="R50" s="71"/>
      <c r="S50" s="72"/>
    </row>
    <row r="51" spans="2:19" x14ac:dyDescent="0.4">
      <c r="O51" s="39"/>
      <c r="P51" s="39"/>
    </row>
  </sheetData>
  <mergeCells count="188">
    <mergeCell ref="O50:P50"/>
    <mergeCell ref="Q50:S50"/>
    <mergeCell ref="Q48:S48"/>
    <mergeCell ref="D49:G49"/>
    <mergeCell ref="I49:J49"/>
    <mergeCell ref="K49:L49"/>
    <mergeCell ref="M49:N49"/>
    <mergeCell ref="O49:P49"/>
    <mergeCell ref="Q49:S49"/>
    <mergeCell ref="B48:C50"/>
    <mergeCell ref="D48:G48"/>
    <mergeCell ref="I48:J48"/>
    <mergeCell ref="K48:L48"/>
    <mergeCell ref="M48:N48"/>
    <mergeCell ref="O48:P48"/>
    <mergeCell ref="D50:G50"/>
    <mergeCell ref="I50:J50"/>
    <mergeCell ref="K50:L50"/>
    <mergeCell ref="M50:N50"/>
    <mergeCell ref="D47:G47"/>
    <mergeCell ref="I47:J47"/>
    <mergeCell ref="K47:L47"/>
    <mergeCell ref="M47:N47"/>
    <mergeCell ref="O47:P47"/>
    <mergeCell ref="Q47:S47"/>
    <mergeCell ref="M45:N45"/>
    <mergeCell ref="O45:P45"/>
    <mergeCell ref="Q45:S45"/>
    <mergeCell ref="B46:C47"/>
    <mergeCell ref="D46:G46"/>
    <mergeCell ref="I46:J46"/>
    <mergeCell ref="K46:L46"/>
    <mergeCell ref="M46:N46"/>
    <mergeCell ref="O46:P46"/>
    <mergeCell ref="Q46:S46"/>
    <mergeCell ref="O43:P43"/>
    <mergeCell ref="Q43:S43"/>
    <mergeCell ref="D44:E44"/>
    <mergeCell ref="F44:G44"/>
    <mergeCell ref="I44:J44"/>
    <mergeCell ref="K44:L44"/>
    <mergeCell ref="M44:N44"/>
    <mergeCell ref="O44:P44"/>
    <mergeCell ref="Q44:S44"/>
    <mergeCell ref="B43:C45"/>
    <mergeCell ref="D43:E43"/>
    <mergeCell ref="F43:G43"/>
    <mergeCell ref="I43:J43"/>
    <mergeCell ref="K43:L43"/>
    <mergeCell ref="M43:N43"/>
    <mergeCell ref="D45:E45"/>
    <mergeCell ref="F45:G45"/>
    <mergeCell ref="I45:J45"/>
    <mergeCell ref="K45:L45"/>
    <mergeCell ref="U40:W40"/>
    <mergeCell ref="B42:C42"/>
    <mergeCell ref="D42:E42"/>
    <mergeCell ref="F42:G42"/>
    <mergeCell ref="I42:J42"/>
    <mergeCell ref="K42:L42"/>
    <mergeCell ref="M42:N42"/>
    <mergeCell ref="O42:P42"/>
    <mergeCell ref="Q42:S42"/>
    <mergeCell ref="B39:E39"/>
    <mergeCell ref="F39:H39"/>
    <mergeCell ref="I39:J39"/>
    <mergeCell ref="K39:M39"/>
    <mergeCell ref="N39:P39"/>
    <mergeCell ref="Q39:S39"/>
    <mergeCell ref="B38:E38"/>
    <mergeCell ref="F38:H38"/>
    <mergeCell ref="I38:J38"/>
    <mergeCell ref="K38:M38"/>
    <mergeCell ref="N38:P38"/>
    <mergeCell ref="Q38:S38"/>
    <mergeCell ref="P34:Q34"/>
    <mergeCell ref="R34:S34"/>
    <mergeCell ref="B37:E37"/>
    <mergeCell ref="F37:H37"/>
    <mergeCell ref="I37:J37"/>
    <mergeCell ref="K37:M37"/>
    <mergeCell ref="N37:P37"/>
    <mergeCell ref="Q37:S37"/>
    <mergeCell ref="N33:O33"/>
    <mergeCell ref="P33:Q33"/>
    <mergeCell ref="R33:S33"/>
    <mergeCell ref="B34:C34"/>
    <mergeCell ref="D34:E34"/>
    <mergeCell ref="F34:G34"/>
    <mergeCell ref="H34:I34"/>
    <mergeCell ref="J34:K34"/>
    <mergeCell ref="L34:M34"/>
    <mergeCell ref="N34:O34"/>
    <mergeCell ref="B33:C33"/>
    <mergeCell ref="D33:E33"/>
    <mergeCell ref="F33:G33"/>
    <mergeCell ref="H33:I33"/>
    <mergeCell ref="J33:K33"/>
    <mergeCell ref="L33:M33"/>
    <mergeCell ref="B30:D30"/>
    <mergeCell ref="E30:G30"/>
    <mergeCell ref="H30:J30"/>
    <mergeCell ref="K30:M30"/>
    <mergeCell ref="N30:P30"/>
    <mergeCell ref="Q30:S30"/>
    <mergeCell ref="B29:D29"/>
    <mergeCell ref="E29:G29"/>
    <mergeCell ref="H29:J29"/>
    <mergeCell ref="K29:M29"/>
    <mergeCell ref="N29:P29"/>
    <mergeCell ref="Q29:S29"/>
    <mergeCell ref="B28:D28"/>
    <mergeCell ref="E28:G28"/>
    <mergeCell ref="H28:J28"/>
    <mergeCell ref="K28:M28"/>
    <mergeCell ref="N28:P28"/>
    <mergeCell ref="Q28:S28"/>
    <mergeCell ref="N18:P19"/>
    <mergeCell ref="Q18:S19"/>
    <mergeCell ref="U18:U19"/>
    <mergeCell ref="B19:E20"/>
    <mergeCell ref="B21:I22"/>
    <mergeCell ref="B23:I24"/>
    <mergeCell ref="K23:R24"/>
    <mergeCell ref="J19:M20"/>
    <mergeCell ref="J21:Q22"/>
    <mergeCell ref="B17:D17"/>
    <mergeCell ref="E17:G17"/>
    <mergeCell ref="H17:J17"/>
    <mergeCell ref="K17:M17"/>
    <mergeCell ref="N17:P17"/>
    <mergeCell ref="Q17:S17"/>
    <mergeCell ref="B16:D16"/>
    <mergeCell ref="E16:G16"/>
    <mergeCell ref="H16:J16"/>
    <mergeCell ref="K16:M16"/>
    <mergeCell ref="N16:P16"/>
    <mergeCell ref="Q16:S16"/>
    <mergeCell ref="B15:D15"/>
    <mergeCell ref="E15:G15"/>
    <mergeCell ref="H15:J15"/>
    <mergeCell ref="K15:M15"/>
    <mergeCell ref="N15:P15"/>
    <mergeCell ref="Q15:S15"/>
    <mergeCell ref="B14:D14"/>
    <mergeCell ref="E14:G14"/>
    <mergeCell ref="H14:J14"/>
    <mergeCell ref="K14:M14"/>
    <mergeCell ref="N14:P14"/>
    <mergeCell ref="Q14:S14"/>
    <mergeCell ref="B13:D13"/>
    <mergeCell ref="E13:G13"/>
    <mergeCell ref="H13:J13"/>
    <mergeCell ref="K13:M13"/>
    <mergeCell ref="N13:P13"/>
    <mergeCell ref="Q13:S13"/>
    <mergeCell ref="B9:D9"/>
    <mergeCell ref="E9:J9"/>
    <mergeCell ref="K9:M9"/>
    <mergeCell ref="N9:S9"/>
    <mergeCell ref="B12:D12"/>
    <mergeCell ref="E12:G12"/>
    <mergeCell ref="H12:J12"/>
    <mergeCell ref="K12:M12"/>
    <mergeCell ref="N12:P12"/>
    <mergeCell ref="Q12:S12"/>
    <mergeCell ref="B7:D7"/>
    <mergeCell ref="E7:J7"/>
    <mergeCell ref="K7:M7"/>
    <mergeCell ref="N7:S7"/>
    <mergeCell ref="B8:D8"/>
    <mergeCell ref="E8:J8"/>
    <mergeCell ref="K8:M8"/>
    <mergeCell ref="N8:S8"/>
    <mergeCell ref="R2:S2"/>
    <mergeCell ref="N3:O4"/>
    <mergeCell ref="P3:Q4"/>
    <mergeCell ref="R3:S4"/>
    <mergeCell ref="B6:D6"/>
    <mergeCell ref="E6:J6"/>
    <mergeCell ref="K6:M6"/>
    <mergeCell ref="N6:S6"/>
    <mergeCell ref="B1:M1"/>
    <mergeCell ref="A2:E3"/>
    <mergeCell ref="F2:L3"/>
    <mergeCell ref="M2:M4"/>
    <mergeCell ref="N2:O2"/>
    <mergeCell ref="P2:Q2"/>
  </mergeCells>
  <phoneticPr fontId="3" type="noConversion"/>
  <pageMargins left="0.51181102362204722" right="0.11811023622047245" top="0.6692913385826772" bottom="0.43307086614173229" header="0.31496062992125984" footer="0.15748031496062992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롯데건설</vt:lpstr>
      <vt:lpstr>롯데건설!Print_Area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jjch</dc:creator>
  <cp:lastModifiedBy>진철 주</cp:lastModifiedBy>
  <dcterms:created xsi:type="dcterms:W3CDTF">2019-01-27T11:22:53Z</dcterms:created>
  <dcterms:modified xsi:type="dcterms:W3CDTF">2026-04-26T01:21:34Z</dcterms:modified>
</cp:coreProperties>
</file>