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설정표'!$A$1:$K$43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219200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43"/>
  <sheetViews>
    <sheetView showGridLines="0" zoomScale="75" zoomScaleNormal="7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46</v>
      </c>
      <c r="D6" s="3" t="inlineStr">
        <is>
          <t>최대 빔각 (°)</t>
        </is>
      </c>
      <c r="E6" s="4" t="n">
        <v>61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46°~61°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25.47 mm / 빔각 46°~61° / Index 22·44·67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>
      <c r="A36" s="2" t="inlineStr">
        <is>
          <t>4. 개선면 법선 및 빔각 적합성 검토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/>
    </row>
    <row r="37" ht="25" customHeight="1">
      <c r="A37" s="7" t="inlineStr">
        <is>
          <t>구분</t>
        </is>
      </c>
      <c r="B37" s="7" t="inlineStr">
        <is>
          <t>개선각 (°)</t>
        </is>
      </c>
      <c r="C37" s="7" t="inlineStr">
        <is>
          <t>목표 빔각 (°)</t>
        </is>
      </c>
      <c r="D37" s="7" t="inlineStr">
        <is>
          <t>허용 최소각 (°)</t>
        </is>
      </c>
      <c r="E37" s="7" t="inlineStr">
        <is>
          <t>허용 최대각 (°)</t>
        </is>
      </c>
      <c r="F37" s="7" t="inlineStr">
        <is>
          <t>사용 최소각</t>
        </is>
      </c>
      <c r="G37" s="7" t="inlineStr">
        <is>
          <t>사용 최대각</t>
        </is>
      </c>
      <c r="H37" s="7" t="inlineStr">
        <is>
          <t>최대 편차 (°)</t>
        </is>
      </c>
      <c r="I37" s="7" t="inlineStr">
        <is>
          <t>6° 기준</t>
        </is>
      </c>
      <c r="J37" s="7" t="inlineStr">
        <is>
          <t>설명</t>
        </is>
      </c>
      <c r="K37" s="7" t="inlineStr">
        <is>
          <t>비고</t>
        </is>
      </c>
    </row>
    <row r="38" ht="25" customHeight="1">
      <c r="A38" s="8" t="inlineStr">
        <is>
          <t>최소 개선각</t>
        </is>
      </c>
      <c r="B38" s="9">
        <f>'PAUT 설정표'!E5-'PAUT 설정표'!H5</f>
        <v/>
      </c>
      <c r="C38" s="9">
        <f>90-B38</f>
        <v/>
      </c>
      <c r="D38" s="9">
        <f>C38-6</f>
        <v/>
      </c>
      <c r="E38" s="9">
        <f>C38+6</f>
        <v/>
      </c>
      <c r="F38" s="9">
        <f>'PAUT 설정표'!B6</f>
        <v/>
      </c>
      <c r="G38" s="9">
        <f>'PAUT 설정표'!E6</f>
        <v/>
      </c>
      <c r="H38" s="9">
        <f>MAX(ABS(F38-C38),ABS(G38-C38))</f>
        <v/>
      </c>
      <c r="I38" s="8">
        <f>IF(H38&lt;=6,"적합","검토 필요")</f>
        <v/>
      </c>
      <c r="J38" s="8">
        <f>IF(I38="적합","사용 범위 전체가 법선 ±6° 이내","범위 조정 또는 보완검사 필요")</f>
        <v/>
      </c>
      <c r="K38" s="8" t="inlineStr">
        <is>
          <t>RLNG-000-MT-SP-6313 §6.2</t>
        </is>
      </c>
    </row>
    <row r="39" ht="25" customHeight="1">
      <c r="A39" s="8" t="inlineStr">
        <is>
          <t>공칭 개선각</t>
        </is>
      </c>
      <c r="B39" s="9">
        <f>'PAUT 설정표'!E5</f>
        <v/>
      </c>
      <c r="C39" s="9">
        <f>90-B39</f>
        <v/>
      </c>
      <c r="D39" s="9">
        <f>C39-6</f>
        <v/>
      </c>
      <c r="E39" s="9">
        <f>C39+6</f>
        <v/>
      </c>
      <c r="F39" s="9">
        <f>'PAUT 설정표'!B6</f>
        <v/>
      </c>
      <c r="G39" s="9">
        <f>'PAUT 설정표'!E6</f>
        <v/>
      </c>
      <c r="H39" s="9">
        <f>MAX(ABS(F39-C39),ABS(G39-C39))</f>
        <v/>
      </c>
      <c r="I39" s="8">
        <f>IF(H39&lt;=6,"적합","검토 필요")</f>
        <v/>
      </c>
      <c r="J39" s="8">
        <f>IF(I39="적합","사용 범위 전체가 법선 ±6° 이내","범위 조정 또는 보완검사 필요")</f>
        <v/>
      </c>
      <c r="K39" s="8" t="inlineStr">
        <is>
          <t>RLNG-000-MT-SP-6313 §6.2</t>
        </is>
      </c>
    </row>
    <row r="40" ht="25" customHeight="1">
      <c r="A40" s="8" t="inlineStr">
        <is>
          <t>최대 개선각</t>
        </is>
      </c>
      <c r="B40" s="9">
        <f>'PAUT 설정표'!E5+'PAUT 설정표'!H5</f>
        <v/>
      </c>
      <c r="C40" s="9">
        <f>90-B40</f>
        <v/>
      </c>
      <c r="D40" s="9">
        <f>C40-6</f>
        <v/>
      </c>
      <c r="E40" s="9">
        <f>C40+6</f>
        <v/>
      </c>
      <c r="F40" s="9">
        <f>'PAUT 설정표'!B6</f>
        <v/>
      </c>
      <c r="G40" s="9">
        <f>'PAUT 설정표'!E6</f>
        <v/>
      </c>
      <c r="H40" s="9">
        <f>MAX(ABS(F40-C40),ABS(G40-C40))</f>
        <v/>
      </c>
      <c r="I40" s="8">
        <f>IF(H40&lt;=6,"적합","검토 필요")</f>
        <v/>
      </c>
      <c r="J40" s="8">
        <f>IF(I40="적합","사용 범위 전체가 법선 ±6° 이내","범위 조정 또는 보완검사 필요")</f>
        <v/>
      </c>
      <c r="K40" s="8" t="inlineStr">
        <is>
          <t>RLNG-000-MT-SP-6313 §6.2</t>
        </is>
      </c>
    </row>
    <row r="41" ht="25" customHeight="1"/>
    <row r="42" ht="22" customHeight="1">
      <c r="A42" s="10" t="inlineStr">
        <is>
          <t>검토 결론: 사용 Sector 범위는 46°~61°이다. 개선각 37.5°±2.5° 전체 공차에서 개선면 법선 편차 6°를 공통으로 만족하는 빔은 49°~56°이며, 46°~48° 및 57°~61°는 용접 체적·루트 또는 추가 커버리지용 보조 빔으로 구분한다. 각 빔의 실제 적용성은 Scan Plan과 Demonstration Block으로 확인해야 한다.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5" t="n"/>
    </row>
    <row r="43" ht="25" customHeight="1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8" t="n"/>
    </row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31" customHeight="1"/>
    <row r="55" ht="31" customHeight="1"/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ageMargins left="0.25" right="0.25" top="0.35" bottom="0.35" header="0.15" footer="0.15"/>
  <pageSetup orientation="landscape" paperSize="9" fitToHeight="2" fitToWidth="1"/>
  <headerFooter>
    <oddHeader/>
    <oddFooter>&amp;CPAUT 검사 설정 및 빔각 검토표&amp;RPage &amp;P of &amp;N</oddFooter>
    <evenHeader/>
    <evenFooter/>
    <firstHeader/>
    <firstFooter/>
  </headerFooter>
  <rowBreaks count="1" manualBreakCount="1">
    <brk id="3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2026-08-12T08:20:16Z</dcterms:modified>
</cp:coreProperties>
</file>