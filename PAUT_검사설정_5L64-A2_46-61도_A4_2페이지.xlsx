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2192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5"/>
  <sheetViews>
    <sheetView showGridLines="0" zoomScale="75" zoomScaleNormal="7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46</v>
      </c>
      <c r="D6" s="3" t="inlineStr">
        <is>
          <t>최대 빔각 (°)</t>
        </is>
      </c>
      <c r="E6" s="4" t="n">
        <v>61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46°~61°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46°~61°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>
      <c r="A36" s="2" t="inlineStr">
        <is>
          <t>4. 개선면 법선 및 빔각 적합성 검토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/>
    </row>
    <row r="37" ht="25" customHeight="1">
      <c r="A37" s="7" t="inlineStr">
        <is>
          <t>구분</t>
        </is>
      </c>
      <c r="B37" s="7" t="inlineStr">
        <is>
          <t>개선각 (°)</t>
        </is>
      </c>
      <c r="C37" s="7" t="inlineStr">
        <is>
          <t>목표 빔각 (°)</t>
        </is>
      </c>
      <c r="D37" s="7" t="inlineStr">
        <is>
          <t>허용 최소각 (°)</t>
        </is>
      </c>
      <c r="E37" s="7" t="inlineStr">
        <is>
          <t>허용 최대각 (°)</t>
        </is>
      </c>
      <c r="F37" s="7" t="inlineStr">
        <is>
          <t>사용 최소각</t>
        </is>
      </c>
      <c r="G37" s="7" t="inlineStr">
        <is>
          <t>사용 최대각</t>
        </is>
      </c>
      <c r="H37" s="7" t="inlineStr">
        <is>
          <t>최대 편차 (°)</t>
        </is>
      </c>
      <c r="I37" s="7" t="inlineStr">
        <is>
          <t>6° 기준</t>
        </is>
      </c>
      <c r="J37" s="7" t="inlineStr">
        <is>
          <t>설명</t>
        </is>
      </c>
      <c r="K37" s="7" t="inlineStr">
        <is>
          <t>비고</t>
        </is>
      </c>
    </row>
    <row r="38" ht="25" customHeight="1">
      <c r="A38" s="8" t="inlineStr">
        <is>
          <t>최소 개선각</t>
        </is>
      </c>
      <c r="B38" s="9">
        <f>'PAUT 설정표'!E5-'PAUT 설정표'!H5</f>
        <v/>
      </c>
      <c r="C38" s="9">
        <f>90-B38</f>
        <v/>
      </c>
      <c r="D38" s="9">
        <f>C38-6</f>
        <v/>
      </c>
      <c r="E38" s="9">
        <f>C38+6</f>
        <v/>
      </c>
      <c r="F38" s="9">
        <f>'PAUT 설정표'!B6</f>
        <v/>
      </c>
      <c r="G38" s="9">
        <f>'PAUT 설정표'!E6</f>
        <v/>
      </c>
      <c r="H38" s="9">
        <f>MAX(ABS(F38-C38),ABS(G38-C38))</f>
        <v/>
      </c>
      <c r="I38" s="8">
        <f>IF(H38&lt;=6,"적합","검토 필요")</f>
        <v/>
      </c>
      <c r="J38" s="8">
        <f>IF(I38="적합","사용 범위 전체가 법선 ±6° 이내","범위 조정 또는 보완검사 필요")</f>
        <v/>
      </c>
      <c r="K38" s="8" t="inlineStr">
        <is>
          <t>RLNG-000-MT-SP-6313 §6.2</t>
        </is>
      </c>
    </row>
    <row r="39" ht="25" customHeight="1">
      <c r="A39" s="8" t="inlineStr">
        <is>
          <t>공칭 개선각</t>
        </is>
      </c>
      <c r="B39" s="9">
        <f>'PAUT 설정표'!E5</f>
        <v/>
      </c>
      <c r="C39" s="9">
        <f>90-B39</f>
        <v/>
      </c>
      <c r="D39" s="9">
        <f>C39-6</f>
        <v/>
      </c>
      <c r="E39" s="9">
        <f>C39+6</f>
        <v/>
      </c>
      <c r="F39" s="9">
        <f>'PAUT 설정표'!B6</f>
        <v/>
      </c>
      <c r="G39" s="9">
        <f>'PAUT 설정표'!E6</f>
        <v/>
      </c>
      <c r="H39" s="9">
        <f>MAX(ABS(F39-C39),ABS(G39-C39))</f>
        <v/>
      </c>
      <c r="I39" s="8">
        <f>IF(H39&lt;=6,"적합","검토 필요")</f>
        <v/>
      </c>
      <c r="J39" s="8">
        <f>IF(I39="적합","사용 범위 전체가 법선 ±6° 이내","범위 조정 또는 보완검사 필요")</f>
        <v/>
      </c>
      <c r="K39" s="8" t="inlineStr">
        <is>
          <t>RLNG-000-MT-SP-6313 §6.2</t>
        </is>
      </c>
    </row>
    <row r="40" ht="25" customHeight="1">
      <c r="A40" s="8" t="inlineStr">
        <is>
          <t>최대 개선각</t>
        </is>
      </c>
      <c r="B40" s="9">
        <f>'PAUT 설정표'!E5+'PAUT 설정표'!H5</f>
        <v/>
      </c>
      <c r="C40" s="9">
        <f>90-B40</f>
        <v/>
      </c>
      <c r="D40" s="9">
        <f>C40-6</f>
        <v/>
      </c>
      <c r="E40" s="9">
        <f>C40+6</f>
        <v/>
      </c>
      <c r="F40" s="9">
        <f>'PAUT 설정표'!B6</f>
        <v/>
      </c>
      <c r="G40" s="9">
        <f>'PAUT 설정표'!E6</f>
        <v/>
      </c>
      <c r="H40" s="9">
        <f>MAX(ABS(F40-C40),ABS(G40-C40))</f>
        <v/>
      </c>
      <c r="I40" s="8">
        <f>IF(H40&lt;=6,"적합","검토 필요")</f>
        <v/>
      </c>
      <c r="J40" s="8">
        <f>IF(I40="적합","사용 범위 전체가 법선 ±6° 이내","범위 조정 또는 보완검사 필요")</f>
        <v/>
      </c>
      <c r="K40" s="8" t="inlineStr">
        <is>
          <t>RLNG-000-MT-SP-6313 §6.2</t>
        </is>
      </c>
    </row>
    <row r="41" ht="25" customHeight="1"/>
    <row r="42" ht="22" customHeight="1">
      <c r="A42" s="2" t="inlineStr">
        <is>
          <t>5. 인덱스별 음향경로 참고값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 ht="25" customHeight="1">
      <c r="A43" s="7" t="inlineStr">
        <is>
          <t>Index (mm)</t>
        </is>
      </c>
      <c r="B43" s="7" t="inlineStr">
        <is>
          <t>빔각 (°)</t>
        </is>
      </c>
      <c r="C43" s="7" t="inlineStr">
        <is>
          <t>1-leg 거리 (mm)</t>
        </is>
      </c>
      <c r="D43" s="7" t="inlineStr">
        <is>
          <t>Full-skip 거리 (mm)</t>
        </is>
      </c>
      <c r="E43" s="7" t="inlineStr">
        <is>
          <t>중심선 도달깊이 (mm)</t>
        </is>
      </c>
      <c r="F43" s="7" t="inlineStr">
        <is>
          <t>두께 이내 직접 도달</t>
        </is>
      </c>
      <c r="G43" s="7" t="inlineStr">
        <is>
          <t>주요 경로</t>
        </is>
      </c>
      <c r="H43" s="7" t="inlineStr">
        <is>
          <t>검토사항</t>
        </is>
      </c>
      <c r="I43" s="7" t="inlineStr">
        <is>
          <t>용접부</t>
        </is>
      </c>
      <c r="J43" s="7" t="inlineStr">
        <is>
          <t>HAZ</t>
        </is>
      </c>
      <c r="K43" s="7" t="inlineStr">
        <is>
          <t>판정 메모</t>
        </is>
      </c>
    </row>
    <row r="44" ht="25" customHeight="1">
      <c r="A44" s="9" t="n">
        <v>22</v>
      </c>
      <c r="B44" s="9" t="n">
        <v>49</v>
      </c>
      <c r="C44" s="9">
        <f>$B$5*TAN(RADIANS(B44))</f>
        <v/>
      </c>
      <c r="D44" s="9">
        <f>2*C44</f>
        <v/>
      </c>
      <c r="E44" s="9">
        <f>A44/TAN(RADIANS(B44))</f>
        <v/>
      </c>
      <c r="F44" s="8">
        <f>IF(E44&lt;=$B$5,"예","아니오")</f>
        <v/>
      </c>
      <c r="G44" s="8">
        <f>IF(A44&lt;C44,"직접 빔",IF(A44&lt;D44,"저면 반사 경로","Full-skip 이상"))</f>
        <v/>
      </c>
      <c r="H44" s="8" t="inlineStr">
        <is>
          <t>실제 용접형상·출사점 기준으로 확인</t>
        </is>
      </c>
      <c r="I44" s="8" t="inlineStr">
        <is>
          <t>확인 필요</t>
        </is>
      </c>
      <c r="J44" s="8" t="inlineStr">
        <is>
          <t>확인 필요</t>
        </is>
      </c>
      <c r="K44" s="8" t="inlineStr">
        <is>
          <t>Scan Plan 및 Demo Block 검증</t>
        </is>
      </c>
    </row>
    <row r="45" ht="25" customHeight="1">
      <c r="A45" s="9" t="n">
        <v>22</v>
      </c>
      <c r="B45" s="9" t="n">
        <v>52.5</v>
      </c>
      <c r="C45" s="9">
        <f>$B$5*TAN(RADIANS(B45))</f>
        <v/>
      </c>
      <c r="D45" s="9">
        <f>2*C45</f>
        <v/>
      </c>
      <c r="E45" s="9">
        <f>A45/TAN(RADIANS(B45))</f>
        <v/>
      </c>
      <c r="F45" s="8">
        <f>IF(E45&lt;=$B$5,"예","아니오")</f>
        <v/>
      </c>
      <c r="G45" s="8">
        <f>IF(A45&lt;C45,"직접 빔",IF(A45&lt;D45,"저면 반사 경로","Full-skip 이상"))</f>
        <v/>
      </c>
      <c r="H45" s="8" t="inlineStr">
        <is>
          <t>실제 용접형상·출사점 기준으로 확인</t>
        </is>
      </c>
      <c r="I45" s="8" t="inlineStr">
        <is>
          <t>확인 필요</t>
        </is>
      </c>
      <c r="J45" s="8" t="inlineStr">
        <is>
          <t>확인 필요</t>
        </is>
      </c>
      <c r="K45" s="8" t="inlineStr">
        <is>
          <t>Scan Plan 및 Demo Block 검증</t>
        </is>
      </c>
    </row>
    <row r="46" ht="25" customHeight="1">
      <c r="A46" s="9" t="n">
        <v>22</v>
      </c>
      <c r="B46" s="9" t="n">
        <v>56</v>
      </c>
      <c r="C46" s="9">
        <f>$B$5*TAN(RADIANS(B46))</f>
        <v/>
      </c>
      <c r="D46" s="9">
        <f>2*C46</f>
        <v/>
      </c>
      <c r="E46" s="9">
        <f>A46/TAN(RADIANS(B46))</f>
        <v/>
      </c>
      <c r="F46" s="8">
        <f>IF(E46&lt;=$B$5,"예","아니오")</f>
        <v/>
      </c>
      <c r="G46" s="8">
        <f>IF(A46&lt;C46,"직접 빔",IF(A46&lt;D46,"저면 반사 경로","Full-skip 이상"))</f>
        <v/>
      </c>
      <c r="H46" s="8" t="inlineStr">
        <is>
          <t>실제 용접형상·출사점 기준으로 확인</t>
        </is>
      </c>
      <c r="I46" s="8" t="inlineStr">
        <is>
          <t>확인 필요</t>
        </is>
      </c>
      <c r="J46" s="8" t="inlineStr">
        <is>
          <t>확인 필요</t>
        </is>
      </c>
      <c r="K46" s="8" t="inlineStr">
        <is>
          <t>Scan Plan 및 Demo Block 검증</t>
        </is>
      </c>
    </row>
    <row r="47" ht="25" customHeight="1">
      <c r="A47" s="9" t="n">
        <v>44</v>
      </c>
      <c r="B47" s="9" t="n">
        <v>49</v>
      </c>
      <c r="C47" s="9">
        <f>$B$5*TAN(RADIANS(B47))</f>
        <v/>
      </c>
      <c r="D47" s="9">
        <f>2*C47</f>
        <v/>
      </c>
      <c r="E47" s="9">
        <f>A47/TAN(RADIANS(B47))</f>
        <v/>
      </c>
      <c r="F47" s="8">
        <f>IF(E47&lt;=$B$5,"예","아니오")</f>
        <v/>
      </c>
      <c r="G47" s="8">
        <f>IF(A47&lt;C47,"직접 빔",IF(A47&lt;D47,"저면 반사 경로","Full-skip 이상"))</f>
        <v/>
      </c>
      <c r="H47" s="8" t="inlineStr">
        <is>
          <t>실제 용접형상·출사점 기준으로 확인</t>
        </is>
      </c>
      <c r="I47" s="8" t="inlineStr">
        <is>
          <t>확인 필요</t>
        </is>
      </c>
      <c r="J47" s="8" t="inlineStr">
        <is>
          <t>확인 필요</t>
        </is>
      </c>
      <c r="K47" s="8" t="inlineStr">
        <is>
          <t>Scan Plan 및 Demo Block 검증</t>
        </is>
      </c>
    </row>
    <row r="48" ht="25" customHeight="1">
      <c r="A48" s="9" t="n">
        <v>44</v>
      </c>
      <c r="B48" s="9" t="n">
        <v>52.5</v>
      </c>
      <c r="C48" s="9">
        <f>$B$5*TAN(RADIANS(B48))</f>
        <v/>
      </c>
      <c r="D48" s="9">
        <f>2*C48</f>
        <v/>
      </c>
      <c r="E48" s="9">
        <f>A48/TAN(RADIANS(B48))</f>
        <v/>
      </c>
      <c r="F48" s="8">
        <f>IF(E48&lt;=$B$5,"예","아니오")</f>
        <v/>
      </c>
      <c r="G48" s="8">
        <f>IF(A48&lt;C48,"직접 빔",IF(A48&lt;D48,"저면 반사 경로","Full-skip 이상"))</f>
        <v/>
      </c>
      <c r="H48" s="8" t="inlineStr">
        <is>
          <t>실제 용접형상·출사점 기준으로 확인</t>
        </is>
      </c>
      <c r="I48" s="8" t="inlineStr">
        <is>
          <t>확인 필요</t>
        </is>
      </c>
      <c r="J48" s="8" t="inlineStr">
        <is>
          <t>확인 필요</t>
        </is>
      </c>
      <c r="K48" s="8" t="inlineStr">
        <is>
          <t>Scan Plan 및 Demo Block 검증</t>
        </is>
      </c>
    </row>
    <row r="49" ht="25" customHeight="1">
      <c r="A49" s="9" t="n">
        <v>44</v>
      </c>
      <c r="B49" s="9" t="n">
        <v>56</v>
      </c>
      <c r="C49" s="9">
        <f>$B$5*TAN(RADIANS(B49))</f>
        <v/>
      </c>
      <c r="D49" s="9">
        <f>2*C49</f>
        <v/>
      </c>
      <c r="E49" s="9">
        <f>A49/TAN(RADIANS(B49))</f>
        <v/>
      </c>
      <c r="F49" s="8">
        <f>IF(E49&lt;=$B$5,"예","아니오")</f>
        <v/>
      </c>
      <c r="G49" s="8">
        <f>IF(A49&lt;C49,"직접 빔",IF(A49&lt;D49,"저면 반사 경로","Full-skip 이상"))</f>
        <v/>
      </c>
      <c r="H49" s="8" t="inlineStr">
        <is>
          <t>실제 용접형상·출사점 기준으로 확인</t>
        </is>
      </c>
      <c r="I49" s="8" t="inlineStr">
        <is>
          <t>확인 필요</t>
        </is>
      </c>
      <c r="J49" s="8" t="inlineStr">
        <is>
          <t>확인 필요</t>
        </is>
      </c>
      <c r="K49" s="8" t="inlineStr">
        <is>
          <t>Scan Plan 및 Demo Block 검증</t>
        </is>
      </c>
    </row>
    <row r="50" ht="25" customHeight="1">
      <c r="A50" s="9" t="n">
        <v>67</v>
      </c>
      <c r="B50" s="9" t="n">
        <v>49</v>
      </c>
      <c r="C50" s="9">
        <f>$B$5*TAN(RADIANS(B50))</f>
        <v/>
      </c>
      <c r="D50" s="9">
        <f>2*C50</f>
        <v/>
      </c>
      <c r="E50" s="9">
        <f>A50/TAN(RADIANS(B50))</f>
        <v/>
      </c>
      <c r="F50" s="8">
        <f>IF(E50&lt;=$B$5,"예","아니오")</f>
        <v/>
      </c>
      <c r="G50" s="8">
        <f>IF(A50&lt;C50,"직접 빔",IF(A50&lt;D50,"저면 반사 경로","Full-skip 이상"))</f>
        <v/>
      </c>
      <c r="H50" s="8" t="inlineStr">
        <is>
          <t>실제 용접형상·출사점 기준으로 확인</t>
        </is>
      </c>
      <c r="I50" s="8" t="inlineStr">
        <is>
          <t>확인 필요</t>
        </is>
      </c>
      <c r="J50" s="8" t="inlineStr">
        <is>
          <t>확인 필요</t>
        </is>
      </c>
      <c r="K50" s="8" t="inlineStr">
        <is>
          <t>Scan Plan 및 Demo Block 검증</t>
        </is>
      </c>
    </row>
    <row r="51" ht="25" customHeight="1">
      <c r="A51" s="9" t="n">
        <v>67</v>
      </c>
      <c r="B51" s="9" t="n">
        <v>52.5</v>
      </c>
      <c r="C51" s="9">
        <f>$B$5*TAN(RADIANS(B51))</f>
        <v/>
      </c>
      <c r="D51" s="9">
        <f>2*C51</f>
        <v/>
      </c>
      <c r="E51" s="9">
        <f>A51/TAN(RADIANS(B51))</f>
        <v/>
      </c>
      <c r="F51" s="8">
        <f>IF(E51&lt;=$B$5,"예","아니오")</f>
        <v/>
      </c>
      <c r="G51" s="8">
        <f>IF(A51&lt;C51,"직접 빔",IF(A51&lt;D51,"저면 반사 경로","Full-skip 이상"))</f>
        <v/>
      </c>
      <c r="H51" s="8" t="inlineStr">
        <is>
          <t>실제 용접형상·출사점 기준으로 확인</t>
        </is>
      </c>
      <c r="I51" s="8" t="inlineStr">
        <is>
          <t>확인 필요</t>
        </is>
      </c>
      <c r="J51" s="8" t="inlineStr">
        <is>
          <t>확인 필요</t>
        </is>
      </c>
      <c r="K51" s="8" t="inlineStr">
        <is>
          <t>Scan Plan 및 Demo Block 검증</t>
        </is>
      </c>
    </row>
    <row r="52" ht="25" customHeight="1">
      <c r="A52" s="9" t="n">
        <v>67</v>
      </c>
      <c r="B52" s="9" t="n">
        <v>56</v>
      </c>
      <c r="C52" s="9">
        <f>$B$5*TAN(RADIANS(B52))</f>
        <v/>
      </c>
      <c r="D52" s="9">
        <f>2*C52</f>
        <v/>
      </c>
      <c r="E52" s="9">
        <f>A52/TAN(RADIANS(B52))</f>
        <v/>
      </c>
      <c r="F52" s="8">
        <f>IF(E52&lt;=$B$5,"예","아니오")</f>
        <v/>
      </c>
      <c r="G52" s="8">
        <f>IF(A52&lt;C52,"직접 빔",IF(A52&lt;D52,"저면 반사 경로","Full-skip 이상"))</f>
        <v/>
      </c>
      <c r="H52" s="8" t="inlineStr">
        <is>
          <t>실제 용접형상·출사점 기준으로 확인</t>
        </is>
      </c>
      <c r="I52" s="8" t="inlineStr">
        <is>
          <t>확인 필요</t>
        </is>
      </c>
      <c r="J52" s="8" t="inlineStr">
        <is>
          <t>확인 필요</t>
        </is>
      </c>
      <c r="K52" s="8" t="inlineStr">
        <is>
          <t>Scan Plan 및 Demo Block 검증</t>
        </is>
      </c>
    </row>
    <row r="53" ht="25" customHeight="1"/>
    <row r="54" ht="31" customHeight="1">
      <c r="A54" s="10" t="inlineStr">
        <is>
          <t>검토 결론: 사용 Sector 범위는 46°~61°이다. 개선각 37.5°±2.5° 전체 공차에서 개선면 법선 편차 6°를 공통으로 만족하는 빔은 49°~56°이며, 46°~48° 및 57°~61°는 용접 체적·루트 또는 추가 커버리지용 보조 빔으로 구분한다. 각 빔의 실제 적용성은 Scan Plan과 Demonstration Block으로 확인해야 한다.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5" t="n"/>
    </row>
    <row r="55" ht="31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8" t="n"/>
    </row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25" right="0.25" top="0.35" bottom="0.35" header="0.15" footer="0.15"/>
  <pageSetup orientation="landscape" paperSize="9" fitToHeight="2" fitToWidth="1"/>
  <headerFooter>
    <oddHeader/>
    <oddFooter>&amp;CPAUT 검사 설정 및 빔각 검토표&amp;RPage &amp;P of &amp;N</oddFooter>
    <evenHeader/>
    <evenFooter/>
    <firstHeader/>
    <firstFooter/>
  </headerFooter>
  <rowBreaks count="1" manualBreakCount="1">
    <brk id="4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2026-08-12T08:18:14Z</dcterms:modified>
</cp:coreProperties>
</file>