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UT 설정표" sheetId="1" state="visible" r:id="rId1"/>
  </sheets>
  <definedNames>
    <definedName name="_xlnm.Print_Area" localSheetId="0">'PAUT 설정표'!$A$1:$K$35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FFFFFF"/>
    </font>
    <font>
      <name val="맑은 고딕"/>
      <b val="1"/>
    </font>
    <font>
      <name val="맑은 고딕"/>
      <color rgb="000000FF"/>
    </font>
    <font>
      <name val="Arial"/>
      <b val="1"/>
    </font>
    <font>
      <name val="맑은 고딕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F0D9"/>
      </patternFill>
    </fill>
  </fills>
  <borders count="1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/>
      <bottom/>
      <diagonal/>
    </border>
    <border>
      <left style="medium">
        <color rgb="00000000"/>
      </left>
      <right/>
      <top/>
      <bottom style="medium">
        <color rgb="00000000"/>
      </bottom>
      <diagonal/>
    </border>
    <border>
      <left/>
      <right/>
      <top/>
      <bottom style="medium">
        <color rgb="00000000"/>
      </bottom>
      <diagonal/>
    </border>
    <border>
      <left/>
      <right style="medium">
        <color rgb="00000000"/>
      </right>
      <top/>
      <bottom style="medium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64" fontId="6" fillId="5" borderId="2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User</author>
  </authors>
  <commentList>
    <comment ref="A14" authorId="0" shapeId="0">
      <text>
        <t>Manufacturer specification: 5 MHz, 64 elements, 0.60 mm pitch, 38.4 × 10 mm total active aperture. Source: https://ims.evidentscientific.com/en/products/u8330072/u8330072</t>
      </text>
    </comment>
    <comment ref="K14" authorId="0" shapeId="0">
      <text>
        <t>Configured active aperture calculation: 32 elements × 0.60 mm pitch = 19.2 mm; elevation = 10 mm.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8" customWidth="1" min="4" max="4"/>
    <col width="22" customWidth="1" min="5" max="5"/>
    <col width="20" customWidth="1" min="6" max="6"/>
    <col width="18" customWidth="1" min="7" max="7"/>
    <col width="18" customWidth="1" min="8" max="8"/>
    <col width="17" customWidth="1" min="9" max="9"/>
    <col width="30" customWidth="1" min="10" max="10"/>
    <col width="25" customWidth="1" min="11" max="11"/>
  </cols>
  <sheetData>
    <row r="1" ht="28" customHeight="1">
      <c r="A1" s="1" t="inlineStr">
        <is>
          <t>PAUT 검사 설정 및 빔 방향 검토표</t>
        </is>
      </c>
    </row>
    <row r="2"/>
    <row r="4">
      <c r="A4" s="2" t="inlineStr">
        <is>
          <t>1. 기본 입력조건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2" t="n"/>
    </row>
    <row r="5">
      <c r="A5" s="3" t="inlineStr">
        <is>
          <t>부재 두께 (mm)</t>
        </is>
      </c>
      <c r="B5" s="4" t="n">
        <v>25.47</v>
      </c>
      <c r="D5" s="3" t="inlineStr">
        <is>
          <t>공칭 개선각 (°)</t>
        </is>
      </c>
      <c r="E5" s="4" t="n">
        <v>37.5</v>
      </c>
      <c r="G5" s="3" t="inlineStr">
        <is>
          <t>개선각 공차 (±°)</t>
        </is>
      </c>
      <c r="H5" s="4" t="n">
        <v>2.5</v>
      </c>
      <c r="J5" s="3" t="inlineStr">
        <is>
          <t>Angle step (°)</t>
        </is>
      </c>
      <c r="K5" s="4" t="n">
        <v>1</v>
      </c>
    </row>
    <row r="6">
      <c r="A6" s="3" t="inlineStr">
        <is>
          <t>최소 빔각 (°)</t>
        </is>
      </c>
      <c r="B6" s="4" t="n">
        <v>49</v>
      </c>
      <c r="D6" s="3" t="inlineStr">
        <is>
          <t>최대 빔각 (°)</t>
        </is>
      </c>
      <c r="E6" s="4" t="n">
        <v>56</v>
      </c>
      <c r="G6" s="3" t="inlineStr">
        <is>
          <t>검사 방향</t>
        </is>
      </c>
      <c r="H6" s="4" t="inlineStr">
        <is>
          <t>양측 주사</t>
        </is>
      </c>
      <c r="J6" s="3" t="inlineStr">
        <is>
          <t>Wave type</t>
        </is>
      </c>
      <c r="K6" s="4" t="inlineStr">
        <is>
          <t>SW</t>
        </is>
      </c>
    </row>
    <row r="8" ht="31" customHeight="1">
      <c r="A8" s="5" t="inlineStr">
        <is>
          <t>Probe</t>
        </is>
      </c>
      <c r="B8" s="5" t="inlineStr">
        <is>
          <t>Wave type</t>
        </is>
      </c>
      <c r="C8" s="5" t="inlineStr">
        <is>
          <t>Law config.</t>
        </is>
      </c>
      <c r="D8" s="5" t="inlineStr">
        <is>
          <t>Focus type</t>
        </is>
      </c>
      <c r="E8" s="5" t="inlineStr">
        <is>
          <t>Aperture Area</t>
        </is>
      </c>
      <c r="F8" s="5" t="inlineStr">
        <is>
          <t>Sweep angle range</t>
        </is>
      </c>
      <c r="G8" s="5" t="inlineStr">
        <is>
          <t>Angle resolution</t>
        </is>
      </c>
      <c r="H8" s="5" t="inlineStr">
        <is>
          <t>Focal depth</t>
        </is>
      </c>
      <c r="I8" s="5" t="inlineStr">
        <is>
          <t>Index offset (mm)</t>
        </is>
      </c>
      <c r="J8" s="11" t="n"/>
      <c r="K8" s="12" t="n"/>
    </row>
    <row r="9" ht="48" customHeight="1">
      <c r="A9" s="5" t="inlineStr">
        <is>
          <t>1D</t>
        </is>
      </c>
      <c r="B9" s="5" t="inlineStr">
        <is>
          <t>SW</t>
        </is>
      </c>
      <c r="C9" s="5" t="inlineStr">
        <is>
          <t>Sectorial</t>
        </is>
      </c>
      <c r="D9" s="5" t="inlineStr">
        <is>
          <t>True depth</t>
        </is>
      </c>
      <c r="E9" s="7" t="inlineStr">
        <is>
          <t>5L64-A2
32 elements × 0.60 mm
Active: 19.2×10 mm</t>
        </is>
      </c>
      <c r="F9" s="5" t="inlineStr">
        <is>
          <t>49°~56°
1° increment</t>
        </is>
      </c>
      <c r="G9" s="5" t="n">
        <v>1</v>
      </c>
      <c r="H9" s="5" t="inlineStr">
        <is>
          <t>Bottom (ID)</t>
        </is>
      </c>
      <c r="I9" s="5" t="n">
        <v>22</v>
      </c>
      <c r="J9" s="5" t="n">
        <v>44</v>
      </c>
      <c r="K9" s="5" t="n">
        <v>67</v>
      </c>
    </row>
    <row r="10" ht="35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6" t="inlineStr">
        <is>
          <t>Direct / near side</t>
        </is>
      </c>
      <c r="J10" s="6" t="inlineStr">
        <is>
          <t>Reflected path</t>
        </is>
      </c>
      <c r="K10" s="6" t="inlineStr">
        <is>
          <t>Full-skip check</t>
        </is>
      </c>
    </row>
    <row r="12">
      <c r="A12" s="2" t="inlineStr">
        <is>
          <t>2. 탐촉자 정보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2" t="n"/>
    </row>
    <row r="13">
      <c r="A13" s="7" t="inlineStr">
        <is>
          <t>탐촉자 형식</t>
        </is>
      </c>
      <c r="B13" s="7" t="inlineStr">
        <is>
          <t>주파수 (MHz)</t>
        </is>
      </c>
      <c r="C13" s="7" t="inlineStr">
        <is>
          <t>진동자 수</t>
        </is>
      </c>
      <c r="D13" s="7" t="inlineStr">
        <is>
          <t>Active aperture (mm)</t>
        </is>
      </c>
      <c r="E13" s="7" t="inlineStr">
        <is>
          <t>Pitch (mm)</t>
        </is>
      </c>
      <c r="F13" s="7" t="inlineStr">
        <is>
          <t>Element Qty</t>
        </is>
      </c>
      <c r="G13" s="7" t="inlineStr">
        <is>
          <t>First Element</t>
        </is>
      </c>
      <c r="H13" s="7" t="inlineStr">
        <is>
          <t>Focusing Type</t>
        </is>
      </c>
      <c r="I13" s="7" t="inlineStr">
        <is>
          <t>Focal Length</t>
        </is>
      </c>
      <c r="J13" s="7" t="inlineStr">
        <is>
          <t>Index</t>
        </is>
      </c>
      <c r="K13" s="7" t="inlineStr">
        <is>
          <t>비고</t>
        </is>
      </c>
    </row>
    <row r="14">
      <c r="A14" s="8" t="inlineStr">
        <is>
          <t>5L64-A2</t>
        </is>
      </c>
      <c r="B14" s="8" t="n">
        <v>5</v>
      </c>
      <c r="C14" s="8" t="n">
        <v>64</v>
      </c>
      <c r="D14" s="8" t="inlineStr">
        <is>
          <t>38.4×10 (total)</t>
        </is>
      </c>
      <c r="E14" s="8" t="n">
        <v>0.6</v>
      </c>
      <c r="F14" s="8" t="n">
        <v>32</v>
      </c>
      <c r="G14" s="8" t="n">
        <v>1</v>
      </c>
      <c r="H14" s="8" t="inlineStr">
        <is>
          <t>TRUE</t>
        </is>
      </c>
      <c r="I14" s="8" t="n">
        <v>11</v>
      </c>
      <c r="J14" s="8" t="inlineStr">
        <is>
          <t>22 / 44 / 67</t>
        </is>
      </c>
      <c r="K14" s="8" t="inlineStr">
        <is>
          <t>32-element active aperture: 19.2×10 mm</t>
        </is>
      </c>
    </row>
    <row r="16">
      <c r="A16" s="2" t="inlineStr">
        <is>
          <t>3. 개선면 법선 및 빔각 적합성 검토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2" t="n"/>
    </row>
    <row r="17">
      <c r="A17" s="7" t="inlineStr">
        <is>
          <t>구분</t>
        </is>
      </c>
      <c r="B17" s="7" t="inlineStr">
        <is>
          <t>개선각 (°)</t>
        </is>
      </c>
      <c r="C17" s="7" t="inlineStr">
        <is>
          <t>목표 빔각 (°)</t>
        </is>
      </c>
      <c r="D17" s="7" t="inlineStr">
        <is>
          <t>허용 최소각 (°)</t>
        </is>
      </c>
      <c r="E17" s="7" t="inlineStr">
        <is>
          <t>허용 최대각 (°)</t>
        </is>
      </c>
      <c r="F17" s="7" t="inlineStr">
        <is>
          <t>사용 최소각</t>
        </is>
      </c>
      <c r="G17" s="7" t="inlineStr">
        <is>
          <t>사용 최대각</t>
        </is>
      </c>
      <c r="H17" s="7" t="inlineStr">
        <is>
          <t>최대 편차 (°)</t>
        </is>
      </c>
      <c r="I17" s="7" t="inlineStr">
        <is>
          <t>6° 기준</t>
        </is>
      </c>
      <c r="J17" s="7" t="inlineStr">
        <is>
          <t>설명</t>
        </is>
      </c>
      <c r="K17" s="7" t="inlineStr">
        <is>
          <t>비고</t>
        </is>
      </c>
    </row>
    <row r="18" ht="30" customHeight="1">
      <c r="A18" s="8" t="inlineStr">
        <is>
          <t>최소 개선각</t>
        </is>
      </c>
      <c r="B18" s="9">
        <f>'PAUT 설정표'!E5-'PAUT 설정표'!H5</f>
        <v/>
      </c>
      <c r="C18" s="9">
        <f>90-B18</f>
        <v/>
      </c>
      <c r="D18" s="9">
        <f>C18-6</f>
        <v/>
      </c>
      <c r="E18" s="9">
        <f>C18+6</f>
        <v/>
      </c>
      <c r="F18" s="9">
        <f>'PAUT 설정표'!B6</f>
        <v/>
      </c>
      <c r="G18" s="9">
        <f>'PAUT 설정표'!E6</f>
        <v/>
      </c>
      <c r="H18" s="9">
        <f>MAX(ABS(F18-C18),ABS(G18-C18))</f>
        <v/>
      </c>
      <c r="I18" s="8">
        <f>IF(H18&lt;=6,"적합","검토 필요")</f>
        <v/>
      </c>
      <c r="J18" s="8">
        <f>IF(I18="적합","사용 범위 전체가 법선 ±6° 이내","범위 조정 또는 보완검사 필요")</f>
        <v/>
      </c>
      <c r="K18" s="8" t="inlineStr">
        <is>
          <t>RLNG-000-MT-SP-6313 §6.2</t>
        </is>
      </c>
    </row>
    <row r="19" ht="30" customHeight="1">
      <c r="A19" s="8" t="inlineStr">
        <is>
          <t>공칭 개선각</t>
        </is>
      </c>
      <c r="B19" s="9">
        <f>'PAUT 설정표'!E5</f>
        <v/>
      </c>
      <c r="C19" s="9">
        <f>90-B19</f>
        <v/>
      </c>
      <c r="D19" s="9">
        <f>C19-6</f>
        <v/>
      </c>
      <c r="E19" s="9">
        <f>C19+6</f>
        <v/>
      </c>
      <c r="F19" s="9">
        <f>'PAUT 설정표'!B6</f>
        <v/>
      </c>
      <c r="G19" s="9">
        <f>'PAUT 설정표'!E6</f>
        <v/>
      </c>
      <c r="H19" s="9">
        <f>MAX(ABS(F19-C19),ABS(G19-C19))</f>
        <v/>
      </c>
      <c r="I19" s="8">
        <f>IF(H19&lt;=6,"적합","검토 필요")</f>
        <v/>
      </c>
      <c r="J19" s="8">
        <f>IF(I19="적합","사용 범위 전체가 법선 ±6° 이내","범위 조정 또는 보완검사 필요")</f>
        <v/>
      </c>
      <c r="K19" s="8" t="inlineStr">
        <is>
          <t>RLNG-000-MT-SP-6313 §6.2</t>
        </is>
      </c>
    </row>
    <row r="20" ht="30" customHeight="1">
      <c r="A20" s="8" t="inlineStr">
        <is>
          <t>최대 개선각</t>
        </is>
      </c>
      <c r="B20" s="9">
        <f>'PAUT 설정표'!E5+'PAUT 설정표'!H5</f>
        <v/>
      </c>
      <c r="C20" s="9">
        <f>90-B20</f>
        <v/>
      </c>
      <c r="D20" s="9">
        <f>C20-6</f>
        <v/>
      </c>
      <c r="E20" s="9">
        <f>C20+6</f>
        <v/>
      </c>
      <c r="F20" s="9">
        <f>'PAUT 설정표'!B6</f>
        <v/>
      </c>
      <c r="G20" s="9">
        <f>'PAUT 설정표'!E6</f>
        <v/>
      </c>
      <c r="H20" s="9">
        <f>MAX(ABS(F20-C20),ABS(G20-C20))</f>
        <v/>
      </c>
      <c r="I20" s="8">
        <f>IF(H20&lt;=6,"적합","검토 필요")</f>
        <v/>
      </c>
      <c r="J20" s="8">
        <f>IF(I20="적합","사용 범위 전체가 법선 ±6° 이내","범위 조정 또는 보완검사 필요")</f>
        <v/>
      </c>
      <c r="K20" s="8" t="inlineStr">
        <is>
          <t>RLNG-000-MT-SP-6313 §6.2</t>
        </is>
      </c>
    </row>
    <row r="21" ht="30" customHeight="1"/>
    <row r="22" ht="30" customHeight="1">
      <c r="A22" s="2" t="inlineStr">
        <is>
          <t>4. 인덱스별 음향경로 참고값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2" t="n"/>
    </row>
    <row r="23" ht="30" customHeight="1">
      <c r="A23" s="7" t="inlineStr">
        <is>
          <t>Index (mm)</t>
        </is>
      </c>
      <c r="B23" s="7" t="inlineStr">
        <is>
          <t>빔각 (°)</t>
        </is>
      </c>
      <c r="C23" s="7" t="inlineStr">
        <is>
          <t>1-leg 거리 (mm)</t>
        </is>
      </c>
      <c r="D23" s="7" t="inlineStr">
        <is>
          <t>Full-skip 거리 (mm)</t>
        </is>
      </c>
      <c r="E23" s="7" t="inlineStr">
        <is>
          <t>중심선 도달깊이 (mm)</t>
        </is>
      </c>
      <c r="F23" s="7" t="inlineStr">
        <is>
          <t>두께 이내 직접 도달</t>
        </is>
      </c>
      <c r="G23" s="7" t="inlineStr">
        <is>
          <t>주요 경로</t>
        </is>
      </c>
      <c r="H23" s="7" t="inlineStr">
        <is>
          <t>검토사항</t>
        </is>
      </c>
      <c r="I23" s="7" t="inlineStr">
        <is>
          <t>용접부</t>
        </is>
      </c>
      <c r="J23" s="7" t="inlineStr">
        <is>
          <t>HAZ</t>
        </is>
      </c>
      <c r="K23" s="7" t="inlineStr">
        <is>
          <t>판정 메모</t>
        </is>
      </c>
    </row>
    <row r="24" ht="30" customHeight="1">
      <c r="A24" s="9" t="n">
        <v>22</v>
      </c>
      <c r="B24" s="9" t="n">
        <v>49</v>
      </c>
      <c r="C24" s="9">
        <f>$B$5*TAN(RADIANS(B24))</f>
        <v/>
      </c>
      <c r="D24" s="9">
        <f>2*C24</f>
        <v/>
      </c>
      <c r="E24" s="9">
        <f>A24/TAN(RADIANS(B24))</f>
        <v/>
      </c>
      <c r="F24" s="8">
        <f>IF(E24&lt;=$B$5,"예","아니오")</f>
        <v/>
      </c>
      <c r="G24" s="8">
        <f>IF(A24&lt;C24,"직접 빔",IF(A24&lt;D24,"저면 반사 경로","Full-skip 이상"))</f>
        <v/>
      </c>
      <c r="H24" s="8" t="inlineStr">
        <is>
          <t>실제 용접형상·출사점 기준으로 확인</t>
        </is>
      </c>
      <c r="I24" s="8" t="inlineStr">
        <is>
          <t>확인 필요</t>
        </is>
      </c>
      <c r="J24" s="8" t="inlineStr">
        <is>
          <t>확인 필요</t>
        </is>
      </c>
      <c r="K24" s="8" t="inlineStr">
        <is>
          <t>Scan Plan 및 Demo Block 검증</t>
        </is>
      </c>
    </row>
    <row r="25" ht="30" customHeight="1">
      <c r="A25" s="9" t="n">
        <v>22</v>
      </c>
      <c r="B25" s="9" t="n">
        <v>52.5</v>
      </c>
      <c r="C25" s="9">
        <f>$B$5*TAN(RADIANS(B25))</f>
        <v/>
      </c>
      <c r="D25" s="9">
        <f>2*C25</f>
        <v/>
      </c>
      <c r="E25" s="9">
        <f>A25/TAN(RADIANS(B25))</f>
        <v/>
      </c>
      <c r="F25" s="8">
        <f>IF(E25&lt;=$B$5,"예","아니오")</f>
        <v/>
      </c>
      <c r="G25" s="8">
        <f>IF(A25&lt;C25,"직접 빔",IF(A25&lt;D25,"저면 반사 경로","Full-skip 이상"))</f>
        <v/>
      </c>
      <c r="H25" s="8" t="inlineStr">
        <is>
          <t>실제 용접형상·출사점 기준으로 확인</t>
        </is>
      </c>
      <c r="I25" s="8" t="inlineStr">
        <is>
          <t>확인 필요</t>
        </is>
      </c>
      <c r="J25" s="8" t="inlineStr">
        <is>
          <t>확인 필요</t>
        </is>
      </c>
      <c r="K25" s="8" t="inlineStr">
        <is>
          <t>Scan Plan 및 Demo Block 검증</t>
        </is>
      </c>
    </row>
    <row r="26" ht="30" customHeight="1">
      <c r="A26" s="9" t="n">
        <v>22</v>
      </c>
      <c r="B26" s="9" t="n">
        <v>56</v>
      </c>
      <c r="C26" s="9">
        <f>$B$5*TAN(RADIANS(B26))</f>
        <v/>
      </c>
      <c r="D26" s="9">
        <f>2*C26</f>
        <v/>
      </c>
      <c r="E26" s="9">
        <f>A26/TAN(RADIANS(B26))</f>
        <v/>
      </c>
      <c r="F26" s="8">
        <f>IF(E26&lt;=$B$5,"예","아니오")</f>
        <v/>
      </c>
      <c r="G26" s="8">
        <f>IF(A26&lt;C26,"직접 빔",IF(A26&lt;D26,"저면 반사 경로","Full-skip 이상"))</f>
        <v/>
      </c>
      <c r="H26" s="8" t="inlineStr">
        <is>
          <t>실제 용접형상·출사점 기준으로 확인</t>
        </is>
      </c>
      <c r="I26" s="8" t="inlineStr">
        <is>
          <t>확인 필요</t>
        </is>
      </c>
      <c r="J26" s="8" t="inlineStr">
        <is>
          <t>확인 필요</t>
        </is>
      </c>
      <c r="K26" s="8" t="inlineStr">
        <is>
          <t>Scan Plan 및 Demo Block 검증</t>
        </is>
      </c>
    </row>
    <row r="27" ht="30" customHeight="1">
      <c r="A27" s="9" t="n">
        <v>44</v>
      </c>
      <c r="B27" s="9" t="n">
        <v>49</v>
      </c>
      <c r="C27" s="9">
        <f>$B$5*TAN(RADIANS(B27))</f>
        <v/>
      </c>
      <c r="D27" s="9">
        <f>2*C27</f>
        <v/>
      </c>
      <c r="E27" s="9">
        <f>A27/TAN(RADIANS(B27))</f>
        <v/>
      </c>
      <c r="F27" s="8">
        <f>IF(E27&lt;=$B$5,"예","아니오")</f>
        <v/>
      </c>
      <c r="G27" s="8">
        <f>IF(A27&lt;C27,"직접 빔",IF(A27&lt;D27,"저면 반사 경로","Full-skip 이상"))</f>
        <v/>
      </c>
      <c r="H27" s="8" t="inlineStr">
        <is>
          <t>실제 용접형상·출사점 기준으로 확인</t>
        </is>
      </c>
      <c r="I27" s="8" t="inlineStr">
        <is>
          <t>확인 필요</t>
        </is>
      </c>
      <c r="J27" s="8" t="inlineStr">
        <is>
          <t>확인 필요</t>
        </is>
      </c>
      <c r="K27" s="8" t="inlineStr">
        <is>
          <t>Scan Plan 및 Demo Block 검증</t>
        </is>
      </c>
    </row>
    <row r="28" ht="30" customHeight="1">
      <c r="A28" s="9" t="n">
        <v>44</v>
      </c>
      <c r="B28" s="9" t="n">
        <v>52.5</v>
      </c>
      <c r="C28" s="9">
        <f>$B$5*TAN(RADIANS(B28))</f>
        <v/>
      </c>
      <c r="D28" s="9">
        <f>2*C28</f>
        <v/>
      </c>
      <c r="E28" s="9">
        <f>A28/TAN(RADIANS(B28))</f>
        <v/>
      </c>
      <c r="F28" s="8">
        <f>IF(E28&lt;=$B$5,"예","아니오")</f>
        <v/>
      </c>
      <c r="G28" s="8">
        <f>IF(A28&lt;C28,"직접 빔",IF(A28&lt;D28,"저면 반사 경로","Full-skip 이상"))</f>
        <v/>
      </c>
      <c r="H28" s="8" t="inlineStr">
        <is>
          <t>실제 용접형상·출사점 기준으로 확인</t>
        </is>
      </c>
      <c r="I28" s="8" t="inlineStr">
        <is>
          <t>확인 필요</t>
        </is>
      </c>
      <c r="J28" s="8" t="inlineStr">
        <is>
          <t>확인 필요</t>
        </is>
      </c>
      <c r="K28" s="8" t="inlineStr">
        <is>
          <t>Scan Plan 및 Demo Block 검증</t>
        </is>
      </c>
    </row>
    <row r="29" ht="30" customHeight="1">
      <c r="A29" s="9" t="n">
        <v>44</v>
      </c>
      <c r="B29" s="9" t="n">
        <v>56</v>
      </c>
      <c r="C29" s="9">
        <f>$B$5*TAN(RADIANS(B29))</f>
        <v/>
      </c>
      <c r="D29" s="9">
        <f>2*C29</f>
        <v/>
      </c>
      <c r="E29" s="9">
        <f>A29/TAN(RADIANS(B29))</f>
        <v/>
      </c>
      <c r="F29" s="8">
        <f>IF(E29&lt;=$B$5,"예","아니오")</f>
        <v/>
      </c>
      <c r="G29" s="8">
        <f>IF(A29&lt;C29,"직접 빔",IF(A29&lt;D29,"저면 반사 경로","Full-skip 이상"))</f>
        <v/>
      </c>
      <c r="H29" s="8" t="inlineStr">
        <is>
          <t>실제 용접형상·출사점 기준으로 확인</t>
        </is>
      </c>
      <c r="I29" s="8" t="inlineStr">
        <is>
          <t>확인 필요</t>
        </is>
      </c>
      <c r="J29" s="8" t="inlineStr">
        <is>
          <t>확인 필요</t>
        </is>
      </c>
      <c r="K29" s="8" t="inlineStr">
        <is>
          <t>Scan Plan 및 Demo Block 검증</t>
        </is>
      </c>
    </row>
    <row r="30" ht="30" customHeight="1">
      <c r="A30" s="9" t="n">
        <v>67</v>
      </c>
      <c r="B30" s="9" t="n">
        <v>49</v>
      </c>
      <c r="C30" s="9">
        <f>$B$5*TAN(RADIANS(B30))</f>
        <v/>
      </c>
      <c r="D30" s="9">
        <f>2*C30</f>
        <v/>
      </c>
      <c r="E30" s="9">
        <f>A30/TAN(RADIANS(B30))</f>
        <v/>
      </c>
      <c r="F30" s="8">
        <f>IF(E30&lt;=$B$5,"예","아니오")</f>
        <v/>
      </c>
      <c r="G30" s="8">
        <f>IF(A30&lt;C30,"직접 빔",IF(A30&lt;D30,"저면 반사 경로","Full-skip 이상"))</f>
        <v/>
      </c>
      <c r="H30" s="8" t="inlineStr">
        <is>
          <t>실제 용접형상·출사점 기준으로 확인</t>
        </is>
      </c>
      <c r="I30" s="8" t="inlineStr">
        <is>
          <t>확인 필요</t>
        </is>
      </c>
      <c r="J30" s="8" t="inlineStr">
        <is>
          <t>확인 필요</t>
        </is>
      </c>
      <c r="K30" s="8" t="inlineStr">
        <is>
          <t>Scan Plan 및 Demo Block 검증</t>
        </is>
      </c>
    </row>
    <row r="31" ht="30" customHeight="1">
      <c r="A31" s="9" t="n">
        <v>67</v>
      </c>
      <c r="B31" s="9" t="n">
        <v>52.5</v>
      </c>
      <c r="C31" s="9">
        <f>$B$5*TAN(RADIANS(B31))</f>
        <v/>
      </c>
      <c r="D31" s="9">
        <f>2*C31</f>
        <v/>
      </c>
      <c r="E31" s="9">
        <f>A31/TAN(RADIANS(B31))</f>
        <v/>
      </c>
      <c r="F31" s="8">
        <f>IF(E31&lt;=$B$5,"예","아니오")</f>
        <v/>
      </c>
      <c r="G31" s="8">
        <f>IF(A31&lt;C31,"직접 빔",IF(A31&lt;D31,"저면 반사 경로","Full-skip 이상"))</f>
        <v/>
      </c>
      <c r="H31" s="8" t="inlineStr">
        <is>
          <t>실제 용접형상·출사점 기준으로 확인</t>
        </is>
      </c>
      <c r="I31" s="8" t="inlineStr">
        <is>
          <t>확인 필요</t>
        </is>
      </c>
      <c r="J31" s="8" t="inlineStr">
        <is>
          <t>확인 필요</t>
        </is>
      </c>
      <c r="K31" s="8" t="inlineStr">
        <is>
          <t>Scan Plan 및 Demo Block 검증</t>
        </is>
      </c>
    </row>
    <row r="32" ht="30" customHeight="1">
      <c r="A32" s="9" t="n">
        <v>67</v>
      </c>
      <c r="B32" s="9" t="n">
        <v>56</v>
      </c>
      <c r="C32" s="9">
        <f>$B$5*TAN(RADIANS(B32))</f>
        <v/>
      </c>
      <c r="D32" s="9">
        <f>2*C32</f>
        <v/>
      </c>
      <c r="E32" s="9">
        <f>A32/TAN(RADIANS(B32))</f>
        <v/>
      </c>
      <c r="F32" s="8">
        <f>IF(E32&lt;=$B$5,"예","아니오")</f>
        <v/>
      </c>
      <c r="G32" s="8">
        <f>IF(A32&lt;C32,"직접 빔",IF(A32&lt;D32,"저면 반사 경로","Full-skip 이상"))</f>
        <v/>
      </c>
      <c r="H32" s="8" t="inlineStr">
        <is>
          <t>실제 용접형상·출사점 기준으로 확인</t>
        </is>
      </c>
      <c r="I32" s="8" t="inlineStr">
        <is>
          <t>확인 필요</t>
        </is>
      </c>
      <c r="J32" s="8" t="inlineStr">
        <is>
          <t>확인 필요</t>
        </is>
      </c>
      <c r="K32" s="8" t="inlineStr">
        <is>
          <t>Scan Plan 및 Demo Block 검증</t>
        </is>
      </c>
    </row>
    <row r="34" ht="35" customHeight="1">
      <c r="A34" s="10" t="inlineStr">
        <is>
          <t>검토 결론: 빔각 49°~56°는 개선각 37.5°±2.5°의 전체 제작공차에서 개선면 법선 편차 6° 이내를 만족한다. 단, Index 22/44/67 mm의 최종 적합성은 실제 용접폭, 루트형상, 웨지 출사점, 덧살 및 양측 주사 경로를 반영한 Scan Plan과 Demonstration Block으로 확인해야 한다.</t>
        </is>
      </c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5" t="n"/>
    </row>
    <row r="35" ht="35" customHeight="1">
      <c r="A35" s="16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8" t="n"/>
    </row>
  </sheetData>
  <mergeCells count="15">
    <mergeCell ref="C9:C10"/>
    <mergeCell ref="B9:B10"/>
    <mergeCell ref="G9:G10"/>
    <mergeCell ref="D9:D10"/>
    <mergeCell ref="A4:K4"/>
    <mergeCell ref="E9:E10"/>
    <mergeCell ref="F9:F10"/>
    <mergeCell ref="H9:H10"/>
    <mergeCell ref="A9:A10"/>
    <mergeCell ref="A12:K12"/>
    <mergeCell ref="A22:K22"/>
    <mergeCell ref="A34:K35"/>
    <mergeCell ref="I8:K8"/>
    <mergeCell ref="A16:K16"/>
    <mergeCell ref="A1:K2"/>
  </mergeCells>
  <conditionalFormatting sqref="I18:I20">
    <cfRule type="expression" priority="1" dxfId="0">
      <formula>I18="적합"</formula>
    </cfRule>
    <cfRule type="expression" priority="2" dxfId="1">
      <formula>I18&lt;&gt;"적합"</formula>
    </cfRule>
  </conditionalFormatting>
  <pageMargins left="0.75" right="0.75" top="1" bottom="1" header="0.5" footer="0.5"/>
  <pageSetup orientation="landscape" fitToHeight="2" fitToWidth="1"/>
  <headerFooter>
    <oddHeader/>
    <oddFooter>&amp;CPAUT 검사 설정 및 빔각 검토표&amp;RPage &amp;P of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2026-08-12T08:03:22Z</dcterms:created>
  <dcterms:modified xmlns:dcterms="http://purl.org/dc/terms/" xmlns:xsi="http://www.w3.org/2001/XMLSchema-instance" xsi:type="dcterms:W3CDTF">2026-08-12T08:07:42Z</dcterms:modified>
</cp:coreProperties>
</file>