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UT 설정표" sheetId="1" state="visible" r:id="rId1"/>
  </sheets>
  <definedNames>
    <definedName name="_xlnm.Print_Area" localSheetId="0">'PAUT 설정표'!$A$1:$K$55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b val="1"/>
    </font>
    <font>
      <name val="맑은 고딕"/>
      <color rgb="000000FF"/>
    </font>
    <font>
      <name val="Arial"/>
      <b val="1"/>
    </font>
    <font>
      <name val="맑은 고딕"/>
    </font>
    <font>
      <name val="맑은 고딕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A14" authorId="0" shapeId="0">
      <text>
        <t>Manufacturer specification: 5 MHz, 64 elements, 0.60 mm pitch, 38.4 × 10 mm total active aperture. Source: https://ims.evidentscientific.com/en/products/u8330072/u8330072</t>
      </text>
    </comment>
    <comment ref="K14" authorId="0" shapeId="0">
      <text>
        <t>Configured active aperture calculation: 32 elements × 0.60 mm pitch = 19.2 mm; elevation = 10 mm.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121920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5"/>
  <sheetViews>
    <sheetView showGridLines="0" zoomScale="75" zoomScaleNormal="7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8" customWidth="1" min="4" max="4"/>
    <col width="22" customWidth="1" min="5" max="5"/>
    <col width="20" customWidth="1" min="6" max="6"/>
    <col width="18" customWidth="1" min="7" max="7"/>
    <col width="18" customWidth="1" min="8" max="8"/>
    <col width="17" customWidth="1" min="9" max="9"/>
    <col width="30" customWidth="1" min="10" max="10"/>
    <col width="25" customWidth="1" min="11" max="11"/>
  </cols>
  <sheetData>
    <row r="1" ht="28" customHeight="1">
      <c r="A1" s="1" t="inlineStr">
        <is>
          <t>PAUT 검사 설정 및 빔 방향 검토표</t>
        </is>
      </c>
    </row>
    <row r="2"/>
    <row r="4">
      <c r="A4" s="2" t="inlineStr">
        <is>
          <t>1. 기본 입력조건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>
      <c r="A5" s="3" t="inlineStr">
        <is>
          <t>부재 두께 (mm)</t>
        </is>
      </c>
      <c r="B5" s="4" t="n">
        <v>25.47</v>
      </c>
      <c r="D5" s="3" t="inlineStr">
        <is>
          <t>공칭 개선각 (°)</t>
        </is>
      </c>
      <c r="E5" s="4" t="n">
        <v>37.5</v>
      </c>
      <c r="G5" s="3" t="inlineStr">
        <is>
          <t>개선각 공차 (±°)</t>
        </is>
      </c>
      <c r="H5" s="4" t="n">
        <v>2.5</v>
      </c>
      <c r="J5" s="3" t="inlineStr">
        <is>
          <t>Angle step (°)</t>
        </is>
      </c>
      <c r="K5" s="4" t="n">
        <v>1</v>
      </c>
    </row>
    <row r="6">
      <c r="A6" s="3" t="inlineStr">
        <is>
          <t>최소 빔각 (°)</t>
        </is>
      </c>
      <c r="B6" s="4" t="n">
        <v>49</v>
      </c>
      <c r="D6" s="3" t="inlineStr">
        <is>
          <t>최대 빔각 (°)</t>
        </is>
      </c>
      <c r="E6" s="4" t="n">
        <v>56</v>
      </c>
      <c r="G6" s="3" t="inlineStr">
        <is>
          <t>검사 방향</t>
        </is>
      </c>
      <c r="H6" s="4" t="inlineStr">
        <is>
          <t>양측 주사</t>
        </is>
      </c>
      <c r="J6" s="3" t="inlineStr">
        <is>
          <t>Wave type</t>
        </is>
      </c>
      <c r="K6" s="4" t="inlineStr">
        <is>
          <t>SW</t>
        </is>
      </c>
    </row>
    <row r="8" ht="31" customHeight="1">
      <c r="A8" s="5" t="inlineStr">
        <is>
          <t>Probe</t>
        </is>
      </c>
      <c r="B8" s="5" t="inlineStr">
        <is>
          <t>Wave type</t>
        </is>
      </c>
      <c r="C8" s="5" t="inlineStr">
        <is>
          <t>Law config.</t>
        </is>
      </c>
      <c r="D8" s="5" t="inlineStr">
        <is>
          <t>Focus type</t>
        </is>
      </c>
      <c r="E8" s="5" t="inlineStr">
        <is>
          <t>Aperture Area</t>
        </is>
      </c>
      <c r="F8" s="5" t="inlineStr">
        <is>
          <t>Sweep angle range</t>
        </is>
      </c>
      <c r="G8" s="5" t="inlineStr">
        <is>
          <t>Angle resolution</t>
        </is>
      </c>
      <c r="H8" s="5" t="inlineStr">
        <is>
          <t>Focal depth</t>
        </is>
      </c>
      <c r="I8" s="5" t="inlineStr">
        <is>
          <t>Index offset (mm)</t>
        </is>
      </c>
      <c r="J8" s="11" t="n"/>
      <c r="K8" s="12" t="n"/>
    </row>
    <row r="9" ht="48" customHeight="1">
      <c r="A9" s="5" t="inlineStr">
        <is>
          <t>1D</t>
        </is>
      </c>
      <c r="B9" s="5" t="inlineStr">
        <is>
          <t>SW</t>
        </is>
      </c>
      <c r="C9" s="5" t="inlineStr">
        <is>
          <t>Sectorial</t>
        </is>
      </c>
      <c r="D9" s="5" t="inlineStr">
        <is>
          <t>True depth</t>
        </is>
      </c>
      <c r="E9" s="7" t="inlineStr">
        <is>
          <t>5L64-A2
32 elements × 0.60 mm
Active: 19.2×10 mm</t>
        </is>
      </c>
      <c r="F9" s="5" t="inlineStr">
        <is>
          <t>49°~56°
1° increment</t>
        </is>
      </c>
      <c r="G9" s="5" t="n">
        <v>1</v>
      </c>
      <c r="H9" s="5" t="inlineStr">
        <is>
          <t>Bottom (ID)</t>
        </is>
      </c>
      <c r="I9" s="5" t="n">
        <v>22</v>
      </c>
      <c r="J9" s="5" t="n">
        <v>44</v>
      </c>
      <c r="K9" s="5" t="n">
        <v>67</v>
      </c>
    </row>
    <row r="10" ht="35" customHeight="1">
      <c r="A10" s="13" t="n"/>
      <c r="B10" s="13" t="n"/>
      <c r="C10" s="13" t="n"/>
      <c r="D10" s="13" t="n"/>
      <c r="E10" s="13" t="n"/>
      <c r="F10" s="13" t="n"/>
      <c r="G10" s="13" t="n"/>
      <c r="H10" s="13" t="n"/>
      <c r="I10" s="6" t="inlineStr">
        <is>
          <t>Direct / near side</t>
        </is>
      </c>
      <c r="J10" s="6" t="inlineStr">
        <is>
          <t>Reflected path</t>
        </is>
      </c>
      <c r="K10" s="6" t="inlineStr">
        <is>
          <t>Full-skip check</t>
        </is>
      </c>
    </row>
    <row r="12">
      <c r="A12" s="2" t="inlineStr">
        <is>
          <t>2. 탐촉자 정보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7" t="inlineStr">
        <is>
          <t>탐촉자 형식</t>
        </is>
      </c>
      <c r="B13" s="7" t="inlineStr">
        <is>
          <t>주파수 (MHz)</t>
        </is>
      </c>
      <c r="C13" s="7" t="inlineStr">
        <is>
          <t>진동자 수</t>
        </is>
      </c>
      <c r="D13" s="7" t="inlineStr">
        <is>
          <t>Active aperture (mm)</t>
        </is>
      </c>
      <c r="E13" s="7" t="inlineStr">
        <is>
          <t>Pitch (mm)</t>
        </is>
      </c>
      <c r="F13" s="7" t="inlineStr">
        <is>
          <t>Element Qty</t>
        </is>
      </c>
      <c r="G13" s="7" t="inlineStr">
        <is>
          <t>First Element</t>
        </is>
      </c>
      <c r="H13" s="7" t="inlineStr">
        <is>
          <t>Focusing Type</t>
        </is>
      </c>
      <c r="I13" s="7" t="inlineStr">
        <is>
          <t>Focal Length</t>
        </is>
      </c>
      <c r="J13" s="7" t="inlineStr">
        <is>
          <t>Index</t>
        </is>
      </c>
      <c r="K13" s="7" t="inlineStr">
        <is>
          <t>비고</t>
        </is>
      </c>
    </row>
    <row r="14">
      <c r="A14" s="8" t="inlineStr">
        <is>
          <t>5L64-A2</t>
        </is>
      </c>
      <c r="B14" s="8" t="n">
        <v>5</v>
      </c>
      <c r="C14" s="8" t="n">
        <v>64</v>
      </c>
      <c r="D14" s="8" t="inlineStr">
        <is>
          <t>38.4×10 (total)</t>
        </is>
      </c>
      <c r="E14" s="8" t="n">
        <v>0.6</v>
      </c>
      <c r="F14" s="8" t="n">
        <v>32</v>
      </c>
      <c r="G14" s="8" t="n">
        <v>1</v>
      </c>
      <c r="H14" s="8" t="inlineStr">
        <is>
          <t>TRUE</t>
        </is>
      </c>
      <c r="I14" s="8" t="n">
        <v>11</v>
      </c>
      <c r="J14" s="8" t="inlineStr">
        <is>
          <t>22 / 44 / 67</t>
        </is>
      </c>
      <c r="K14" s="8" t="inlineStr">
        <is>
          <t>32-element active aperture: 19.2×10 mm</t>
        </is>
      </c>
    </row>
    <row r="16" ht="22" customHeight="1">
      <c r="A16" s="19" t="inlineStr">
        <is>
          <t>3. PAUT Scan Plan (두께 25.47 mm / 빔각 49°~56° / Index 22·44·67 mm / 양측 주사)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 t="n"/>
    </row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7" customHeight="1"/>
    <row r="28" ht="17" customHeight="1"/>
    <row r="29" ht="17" customHeight="1"/>
    <row r="30" ht="17" customHeight="1"/>
    <row r="31" ht="17" customHeight="1"/>
    <row r="32" ht="17" customHeight="1"/>
    <row r="33" ht="17" customHeight="1"/>
    <row r="34" ht="17" customHeight="1"/>
    <row r="35" ht="20" customHeight="1"/>
    <row r="36" ht="22" customHeight="1">
      <c r="A36" s="2" t="inlineStr">
        <is>
          <t>4. 개선면 법선 및 빔각 적합성 검토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/>
    </row>
    <row r="37" ht="25" customHeight="1">
      <c r="A37" s="7" t="inlineStr">
        <is>
          <t>구분</t>
        </is>
      </c>
      <c r="B37" s="7" t="inlineStr">
        <is>
          <t>개선각 (°)</t>
        </is>
      </c>
      <c r="C37" s="7" t="inlineStr">
        <is>
          <t>목표 빔각 (°)</t>
        </is>
      </c>
      <c r="D37" s="7" t="inlineStr">
        <is>
          <t>허용 최소각 (°)</t>
        </is>
      </c>
      <c r="E37" s="7" t="inlineStr">
        <is>
          <t>허용 최대각 (°)</t>
        </is>
      </c>
      <c r="F37" s="7" t="inlineStr">
        <is>
          <t>사용 최소각</t>
        </is>
      </c>
      <c r="G37" s="7" t="inlineStr">
        <is>
          <t>사용 최대각</t>
        </is>
      </c>
      <c r="H37" s="7" t="inlineStr">
        <is>
          <t>최대 편차 (°)</t>
        </is>
      </c>
      <c r="I37" s="7" t="inlineStr">
        <is>
          <t>6° 기준</t>
        </is>
      </c>
      <c r="J37" s="7" t="inlineStr">
        <is>
          <t>설명</t>
        </is>
      </c>
      <c r="K37" s="7" t="inlineStr">
        <is>
          <t>비고</t>
        </is>
      </c>
    </row>
    <row r="38" ht="25" customHeight="1">
      <c r="A38" s="8" t="inlineStr">
        <is>
          <t>최소 개선각</t>
        </is>
      </c>
      <c r="B38" s="9">
        <f>'PAUT 설정표'!E5-'PAUT 설정표'!H5</f>
        <v/>
      </c>
      <c r="C38" s="9">
        <f>90-B38</f>
        <v/>
      </c>
      <c r="D38" s="9">
        <f>C38-6</f>
        <v/>
      </c>
      <c r="E38" s="9">
        <f>C38+6</f>
        <v/>
      </c>
      <c r="F38" s="9">
        <f>'PAUT 설정표'!B6</f>
        <v/>
      </c>
      <c r="G38" s="9">
        <f>'PAUT 설정표'!E6</f>
        <v/>
      </c>
      <c r="H38" s="9">
        <f>MAX(ABS(F38-C38),ABS(G38-C38))</f>
        <v/>
      </c>
      <c r="I38" s="8">
        <f>IF(H38&lt;=6,"적합","검토 필요")</f>
        <v/>
      </c>
      <c r="J38" s="8">
        <f>IF(I38="적합","사용 범위 전체가 법선 ±6° 이내","범위 조정 또는 보완검사 필요")</f>
        <v/>
      </c>
      <c r="K38" s="8" t="inlineStr">
        <is>
          <t>RLNG-000-MT-SP-6313 §6.2</t>
        </is>
      </c>
    </row>
    <row r="39" ht="25" customHeight="1">
      <c r="A39" s="8" t="inlineStr">
        <is>
          <t>공칭 개선각</t>
        </is>
      </c>
      <c r="B39" s="9">
        <f>'PAUT 설정표'!E5</f>
        <v/>
      </c>
      <c r="C39" s="9">
        <f>90-B39</f>
        <v/>
      </c>
      <c r="D39" s="9">
        <f>C39-6</f>
        <v/>
      </c>
      <c r="E39" s="9">
        <f>C39+6</f>
        <v/>
      </c>
      <c r="F39" s="9">
        <f>'PAUT 설정표'!B6</f>
        <v/>
      </c>
      <c r="G39" s="9">
        <f>'PAUT 설정표'!E6</f>
        <v/>
      </c>
      <c r="H39" s="9">
        <f>MAX(ABS(F39-C39),ABS(G39-C39))</f>
        <v/>
      </c>
      <c r="I39" s="8">
        <f>IF(H39&lt;=6,"적합","검토 필요")</f>
        <v/>
      </c>
      <c r="J39" s="8">
        <f>IF(I39="적합","사용 범위 전체가 법선 ±6° 이내","범위 조정 또는 보완검사 필요")</f>
        <v/>
      </c>
      <c r="K39" s="8" t="inlineStr">
        <is>
          <t>RLNG-000-MT-SP-6313 §6.2</t>
        </is>
      </c>
    </row>
    <row r="40" ht="25" customHeight="1">
      <c r="A40" s="8" t="inlineStr">
        <is>
          <t>최대 개선각</t>
        </is>
      </c>
      <c r="B40" s="9">
        <f>'PAUT 설정표'!E5+'PAUT 설정표'!H5</f>
        <v/>
      </c>
      <c r="C40" s="9">
        <f>90-B40</f>
        <v/>
      </c>
      <c r="D40" s="9">
        <f>C40-6</f>
        <v/>
      </c>
      <c r="E40" s="9">
        <f>C40+6</f>
        <v/>
      </c>
      <c r="F40" s="9">
        <f>'PAUT 설정표'!B6</f>
        <v/>
      </c>
      <c r="G40" s="9">
        <f>'PAUT 설정표'!E6</f>
        <v/>
      </c>
      <c r="H40" s="9">
        <f>MAX(ABS(F40-C40),ABS(G40-C40))</f>
        <v/>
      </c>
      <c r="I40" s="8">
        <f>IF(H40&lt;=6,"적합","검토 필요")</f>
        <v/>
      </c>
      <c r="J40" s="8">
        <f>IF(I40="적합","사용 범위 전체가 법선 ±6° 이내","범위 조정 또는 보완검사 필요")</f>
        <v/>
      </c>
      <c r="K40" s="8" t="inlineStr">
        <is>
          <t>RLNG-000-MT-SP-6313 §6.2</t>
        </is>
      </c>
    </row>
    <row r="41" ht="25" customHeight="1"/>
    <row r="42" ht="22" customHeight="1">
      <c r="A42" s="2" t="inlineStr">
        <is>
          <t>5. 인덱스별 음향경로 참고값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2" t="n"/>
    </row>
    <row r="43" ht="25" customHeight="1">
      <c r="A43" s="7" t="inlineStr">
        <is>
          <t>Index (mm)</t>
        </is>
      </c>
      <c r="B43" s="7" t="inlineStr">
        <is>
          <t>빔각 (°)</t>
        </is>
      </c>
      <c r="C43" s="7" t="inlineStr">
        <is>
          <t>1-leg 거리 (mm)</t>
        </is>
      </c>
      <c r="D43" s="7" t="inlineStr">
        <is>
          <t>Full-skip 거리 (mm)</t>
        </is>
      </c>
      <c r="E43" s="7" t="inlineStr">
        <is>
          <t>중심선 도달깊이 (mm)</t>
        </is>
      </c>
      <c r="F43" s="7" t="inlineStr">
        <is>
          <t>두께 이내 직접 도달</t>
        </is>
      </c>
      <c r="G43" s="7" t="inlineStr">
        <is>
          <t>주요 경로</t>
        </is>
      </c>
      <c r="H43" s="7" t="inlineStr">
        <is>
          <t>검토사항</t>
        </is>
      </c>
      <c r="I43" s="7" t="inlineStr">
        <is>
          <t>용접부</t>
        </is>
      </c>
      <c r="J43" s="7" t="inlineStr">
        <is>
          <t>HAZ</t>
        </is>
      </c>
      <c r="K43" s="7" t="inlineStr">
        <is>
          <t>판정 메모</t>
        </is>
      </c>
    </row>
    <row r="44" ht="25" customHeight="1">
      <c r="A44" s="9" t="n">
        <v>22</v>
      </c>
      <c r="B44" s="9" t="n">
        <v>49</v>
      </c>
      <c r="C44" s="9">
        <f>$B$5*TAN(RADIANS(B44))</f>
        <v/>
      </c>
      <c r="D44" s="9">
        <f>2*C44</f>
        <v/>
      </c>
      <c r="E44" s="9">
        <f>A44/TAN(RADIANS(B44))</f>
        <v/>
      </c>
      <c r="F44" s="8">
        <f>IF(E44&lt;=$B$5,"예","아니오")</f>
        <v/>
      </c>
      <c r="G44" s="8">
        <f>IF(A44&lt;C44,"직접 빔",IF(A44&lt;D44,"저면 반사 경로","Full-skip 이상"))</f>
        <v/>
      </c>
      <c r="H44" s="8" t="inlineStr">
        <is>
          <t>실제 용접형상·출사점 기준으로 확인</t>
        </is>
      </c>
      <c r="I44" s="8" t="inlineStr">
        <is>
          <t>확인 필요</t>
        </is>
      </c>
      <c r="J44" s="8" t="inlineStr">
        <is>
          <t>확인 필요</t>
        </is>
      </c>
      <c r="K44" s="8" t="inlineStr">
        <is>
          <t>Scan Plan 및 Demo Block 검증</t>
        </is>
      </c>
    </row>
    <row r="45" ht="25" customHeight="1">
      <c r="A45" s="9" t="n">
        <v>22</v>
      </c>
      <c r="B45" s="9" t="n">
        <v>52.5</v>
      </c>
      <c r="C45" s="9">
        <f>$B$5*TAN(RADIANS(B45))</f>
        <v/>
      </c>
      <c r="D45" s="9">
        <f>2*C45</f>
        <v/>
      </c>
      <c r="E45" s="9">
        <f>A45/TAN(RADIANS(B45))</f>
        <v/>
      </c>
      <c r="F45" s="8">
        <f>IF(E45&lt;=$B$5,"예","아니오")</f>
        <v/>
      </c>
      <c r="G45" s="8">
        <f>IF(A45&lt;C45,"직접 빔",IF(A45&lt;D45,"저면 반사 경로","Full-skip 이상"))</f>
        <v/>
      </c>
      <c r="H45" s="8" t="inlineStr">
        <is>
          <t>실제 용접형상·출사점 기준으로 확인</t>
        </is>
      </c>
      <c r="I45" s="8" t="inlineStr">
        <is>
          <t>확인 필요</t>
        </is>
      </c>
      <c r="J45" s="8" t="inlineStr">
        <is>
          <t>확인 필요</t>
        </is>
      </c>
      <c r="K45" s="8" t="inlineStr">
        <is>
          <t>Scan Plan 및 Demo Block 검증</t>
        </is>
      </c>
    </row>
    <row r="46" ht="25" customHeight="1">
      <c r="A46" s="9" t="n">
        <v>22</v>
      </c>
      <c r="B46" s="9" t="n">
        <v>56</v>
      </c>
      <c r="C46" s="9">
        <f>$B$5*TAN(RADIANS(B46))</f>
        <v/>
      </c>
      <c r="D46" s="9">
        <f>2*C46</f>
        <v/>
      </c>
      <c r="E46" s="9">
        <f>A46/TAN(RADIANS(B46))</f>
        <v/>
      </c>
      <c r="F46" s="8">
        <f>IF(E46&lt;=$B$5,"예","아니오")</f>
        <v/>
      </c>
      <c r="G46" s="8">
        <f>IF(A46&lt;C46,"직접 빔",IF(A46&lt;D46,"저면 반사 경로","Full-skip 이상"))</f>
        <v/>
      </c>
      <c r="H46" s="8" t="inlineStr">
        <is>
          <t>실제 용접형상·출사점 기준으로 확인</t>
        </is>
      </c>
      <c r="I46" s="8" t="inlineStr">
        <is>
          <t>확인 필요</t>
        </is>
      </c>
      <c r="J46" s="8" t="inlineStr">
        <is>
          <t>확인 필요</t>
        </is>
      </c>
      <c r="K46" s="8" t="inlineStr">
        <is>
          <t>Scan Plan 및 Demo Block 검증</t>
        </is>
      </c>
    </row>
    <row r="47" ht="25" customHeight="1">
      <c r="A47" s="9" t="n">
        <v>44</v>
      </c>
      <c r="B47" s="9" t="n">
        <v>49</v>
      </c>
      <c r="C47" s="9">
        <f>$B$5*TAN(RADIANS(B47))</f>
        <v/>
      </c>
      <c r="D47" s="9">
        <f>2*C47</f>
        <v/>
      </c>
      <c r="E47" s="9">
        <f>A47/TAN(RADIANS(B47))</f>
        <v/>
      </c>
      <c r="F47" s="8">
        <f>IF(E47&lt;=$B$5,"예","아니오")</f>
        <v/>
      </c>
      <c r="G47" s="8">
        <f>IF(A47&lt;C47,"직접 빔",IF(A47&lt;D47,"저면 반사 경로","Full-skip 이상"))</f>
        <v/>
      </c>
      <c r="H47" s="8" t="inlineStr">
        <is>
          <t>실제 용접형상·출사점 기준으로 확인</t>
        </is>
      </c>
      <c r="I47" s="8" t="inlineStr">
        <is>
          <t>확인 필요</t>
        </is>
      </c>
      <c r="J47" s="8" t="inlineStr">
        <is>
          <t>확인 필요</t>
        </is>
      </c>
      <c r="K47" s="8" t="inlineStr">
        <is>
          <t>Scan Plan 및 Demo Block 검증</t>
        </is>
      </c>
    </row>
    <row r="48" ht="25" customHeight="1">
      <c r="A48" s="9" t="n">
        <v>44</v>
      </c>
      <c r="B48" s="9" t="n">
        <v>52.5</v>
      </c>
      <c r="C48" s="9">
        <f>$B$5*TAN(RADIANS(B48))</f>
        <v/>
      </c>
      <c r="D48" s="9">
        <f>2*C48</f>
        <v/>
      </c>
      <c r="E48" s="9">
        <f>A48/TAN(RADIANS(B48))</f>
        <v/>
      </c>
      <c r="F48" s="8">
        <f>IF(E48&lt;=$B$5,"예","아니오")</f>
        <v/>
      </c>
      <c r="G48" s="8">
        <f>IF(A48&lt;C48,"직접 빔",IF(A48&lt;D48,"저면 반사 경로","Full-skip 이상"))</f>
        <v/>
      </c>
      <c r="H48" s="8" t="inlineStr">
        <is>
          <t>실제 용접형상·출사점 기준으로 확인</t>
        </is>
      </c>
      <c r="I48" s="8" t="inlineStr">
        <is>
          <t>확인 필요</t>
        </is>
      </c>
      <c r="J48" s="8" t="inlineStr">
        <is>
          <t>확인 필요</t>
        </is>
      </c>
      <c r="K48" s="8" t="inlineStr">
        <is>
          <t>Scan Plan 및 Demo Block 검증</t>
        </is>
      </c>
    </row>
    <row r="49" ht="25" customHeight="1">
      <c r="A49" s="9" t="n">
        <v>44</v>
      </c>
      <c r="B49" s="9" t="n">
        <v>56</v>
      </c>
      <c r="C49" s="9">
        <f>$B$5*TAN(RADIANS(B49))</f>
        <v/>
      </c>
      <c r="D49" s="9">
        <f>2*C49</f>
        <v/>
      </c>
      <c r="E49" s="9">
        <f>A49/TAN(RADIANS(B49))</f>
        <v/>
      </c>
      <c r="F49" s="8">
        <f>IF(E49&lt;=$B$5,"예","아니오")</f>
        <v/>
      </c>
      <c r="G49" s="8">
        <f>IF(A49&lt;C49,"직접 빔",IF(A49&lt;D49,"저면 반사 경로","Full-skip 이상"))</f>
        <v/>
      </c>
      <c r="H49" s="8" t="inlineStr">
        <is>
          <t>실제 용접형상·출사점 기준으로 확인</t>
        </is>
      </c>
      <c r="I49" s="8" t="inlineStr">
        <is>
          <t>확인 필요</t>
        </is>
      </c>
      <c r="J49" s="8" t="inlineStr">
        <is>
          <t>확인 필요</t>
        </is>
      </c>
      <c r="K49" s="8" t="inlineStr">
        <is>
          <t>Scan Plan 및 Demo Block 검증</t>
        </is>
      </c>
    </row>
    <row r="50" ht="25" customHeight="1">
      <c r="A50" s="9" t="n">
        <v>67</v>
      </c>
      <c r="B50" s="9" t="n">
        <v>49</v>
      </c>
      <c r="C50" s="9">
        <f>$B$5*TAN(RADIANS(B50))</f>
        <v/>
      </c>
      <c r="D50" s="9">
        <f>2*C50</f>
        <v/>
      </c>
      <c r="E50" s="9">
        <f>A50/TAN(RADIANS(B50))</f>
        <v/>
      </c>
      <c r="F50" s="8">
        <f>IF(E50&lt;=$B$5,"예","아니오")</f>
        <v/>
      </c>
      <c r="G50" s="8">
        <f>IF(A50&lt;C50,"직접 빔",IF(A50&lt;D50,"저면 반사 경로","Full-skip 이상"))</f>
        <v/>
      </c>
      <c r="H50" s="8" t="inlineStr">
        <is>
          <t>실제 용접형상·출사점 기준으로 확인</t>
        </is>
      </c>
      <c r="I50" s="8" t="inlineStr">
        <is>
          <t>확인 필요</t>
        </is>
      </c>
      <c r="J50" s="8" t="inlineStr">
        <is>
          <t>확인 필요</t>
        </is>
      </c>
      <c r="K50" s="8" t="inlineStr">
        <is>
          <t>Scan Plan 및 Demo Block 검증</t>
        </is>
      </c>
    </row>
    <row r="51" ht="25" customHeight="1">
      <c r="A51" s="9" t="n">
        <v>67</v>
      </c>
      <c r="B51" s="9" t="n">
        <v>52.5</v>
      </c>
      <c r="C51" s="9">
        <f>$B$5*TAN(RADIANS(B51))</f>
        <v/>
      </c>
      <c r="D51" s="9">
        <f>2*C51</f>
        <v/>
      </c>
      <c r="E51" s="9">
        <f>A51/TAN(RADIANS(B51))</f>
        <v/>
      </c>
      <c r="F51" s="8">
        <f>IF(E51&lt;=$B$5,"예","아니오")</f>
        <v/>
      </c>
      <c r="G51" s="8">
        <f>IF(A51&lt;C51,"직접 빔",IF(A51&lt;D51,"저면 반사 경로","Full-skip 이상"))</f>
        <v/>
      </c>
      <c r="H51" s="8" t="inlineStr">
        <is>
          <t>실제 용접형상·출사점 기준으로 확인</t>
        </is>
      </c>
      <c r="I51" s="8" t="inlineStr">
        <is>
          <t>확인 필요</t>
        </is>
      </c>
      <c r="J51" s="8" t="inlineStr">
        <is>
          <t>확인 필요</t>
        </is>
      </c>
      <c r="K51" s="8" t="inlineStr">
        <is>
          <t>Scan Plan 및 Demo Block 검증</t>
        </is>
      </c>
    </row>
    <row r="52" ht="25" customHeight="1">
      <c r="A52" s="9" t="n">
        <v>67</v>
      </c>
      <c r="B52" s="9" t="n">
        <v>56</v>
      </c>
      <c r="C52" s="9">
        <f>$B$5*TAN(RADIANS(B52))</f>
        <v/>
      </c>
      <c r="D52" s="9">
        <f>2*C52</f>
        <v/>
      </c>
      <c r="E52" s="9">
        <f>A52/TAN(RADIANS(B52))</f>
        <v/>
      </c>
      <c r="F52" s="8">
        <f>IF(E52&lt;=$B$5,"예","아니오")</f>
        <v/>
      </c>
      <c r="G52" s="8">
        <f>IF(A52&lt;C52,"직접 빔",IF(A52&lt;D52,"저면 반사 경로","Full-skip 이상"))</f>
        <v/>
      </c>
      <c r="H52" s="8" t="inlineStr">
        <is>
          <t>실제 용접형상·출사점 기준으로 확인</t>
        </is>
      </c>
      <c r="I52" s="8" t="inlineStr">
        <is>
          <t>확인 필요</t>
        </is>
      </c>
      <c r="J52" s="8" t="inlineStr">
        <is>
          <t>확인 필요</t>
        </is>
      </c>
      <c r="K52" s="8" t="inlineStr">
        <is>
          <t>Scan Plan 및 Demo Block 검증</t>
        </is>
      </c>
    </row>
    <row r="53" ht="25" customHeight="1"/>
    <row r="54" ht="31" customHeight="1">
      <c r="A54" s="10" t="inlineStr">
        <is>
          <t>검토 결론: 빔각 49°~56°는 개선각 37.5°±2.5°의 전체 제작공차에서 개선면 법선 편차 6° 이내를 만족한다. 단, Index 22/44/67 mm의 최종 적합성은 실제 용접폭, 루트형상, 웨지 출사점, 덧살 및 양측 주사 경로를 반영한 Scan Plan과 Demonstration Block으로 확인해야 한다.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5" t="n"/>
    </row>
    <row r="55" ht="31" customHeight="1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8" t="n"/>
    </row>
  </sheetData>
  <mergeCells count="15">
    <mergeCell ref="C9:C10"/>
    <mergeCell ref="B9:B10"/>
    <mergeCell ref="G9:G10"/>
    <mergeCell ref="D9:D10"/>
    <mergeCell ref="A4:K4"/>
    <mergeCell ref="E9:E10"/>
    <mergeCell ref="F9:F10"/>
    <mergeCell ref="H9:H10"/>
    <mergeCell ref="A9:A10"/>
    <mergeCell ref="A12:K12"/>
    <mergeCell ref="A22:K22"/>
    <mergeCell ref="A34:K35"/>
    <mergeCell ref="I8:K8"/>
    <mergeCell ref="A16:K16"/>
    <mergeCell ref="A1:K2"/>
  </mergeCells>
  <conditionalFormatting sqref="I18:I20">
    <cfRule type="expression" priority="1" dxfId="0">
      <formula>I18="적합"</formula>
    </cfRule>
    <cfRule type="expression" priority="2" dxfId="1">
      <formula>I18&lt;&gt;"적합"</formula>
    </cfRule>
  </conditionalFormatting>
  <pageMargins left="0.25" right="0.25" top="0.35" bottom="0.35" header="0.15" footer="0.15"/>
  <pageSetup orientation="landscape" paperSize="9" fitToHeight="2" fitToWidth="1"/>
  <headerFooter>
    <oddHeader/>
    <oddFooter>&amp;CPAUT 검사 설정 및 빔각 검토표&amp;RPage &amp;P of &amp;N</oddFooter>
    <evenHeader/>
    <evenFooter/>
    <firstHeader/>
    <firstFooter/>
  </headerFooter>
  <rowBreaks count="1" manualBreakCount="1">
    <brk id="41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2026-08-12T08:03:22Z</dcterms:created>
  <dcterms:modified xmlns:dcterms="http://purl.org/dc/terms/" xmlns:xsi="http://www.w3.org/2001/XMLSchema-instance" xsi:type="dcterms:W3CDTF">2026-08-12T08:16:52Z</dcterms:modified>
</cp:coreProperties>
</file>