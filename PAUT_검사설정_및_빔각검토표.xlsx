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49</v>
      </c>
      <c r="D6" s="3" t="inlineStr">
        <is>
          <t>최대 빔각 (°)</t>
        </is>
      </c>
      <c r="E6" s="4" t="n">
        <v>56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5" t="n"/>
      <c r="K8" s="5" t="n"/>
    </row>
    <row r="9" ht="2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5" t="inlineStr">
        <is>
          <t>T≤50: Min. 8×10
T&gt;50: Min. 16×10</t>
        </is>
      </c>
      <c r="F9" s="5" t="inlineStr">
        <is>
          <t>49°~56°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10CCEV35-A15</t>
        </is>
      </c>
      <c r="B14" s="8" t="n">
        <v>10</v>
      </c>
      <c r="C14" s="8" t="n">
        <v>32</v>
      </c>
      <c r="D14" s="8" t="inlineStr">
        <is>
          <t>26.2×21.8</t>
        </is>
      </c>
      <c r="E14" s="8" t="n">
        <v>0.25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사용 전 장비·웨지 자료 확인</t>
        </is>
      </c>
    </row>
    <row r="16">
      <c r="A16" s="2" t="inlineStr">
        <is>
          <t>3. 개선면 법선 및 빔각 적합성 검토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7" t="inlineStr">
        <is>
          <t>구분</t>
        </is>
      </c>
      <c r="B17" s="7" t="inlineStr">
        <is>
          <t>개선각 (°)</t>
        </is>
      </c>
      <c r="C17" s="7" t="inlineStr">
        <is>
          <t>목표 빔각 (°)</t>
        </is>
      </c>
      <c r="D17" s="7" t="inlineStr">
        <is>
          <t>허용 최소각 (°)</t>
        </is>
      </c>
      <c r="E17" s="7" t="inlineStr">
        <is>
          <t>허용 최대각 (°)</t>
        </is>
      </c>
      <c r="F17" s="7" t="inlineStr">
        <is>
          <t>사용 최소각</t>
        </is>
      </c>
      <c r="G17" s="7" t="inlineStr">
        <is>
          <t>사용 최대각</t>
        </is>
      </c>
      <c r="H17" s="7" t="inlineStr">
        <is>
          <t>최대 편차 (°)</t>
        </is>
      </c>
      <c r="I17" s="7" t="inlineStr">
        <is>
          <t>6° 기준</t>
        </is>
      </c>
      <c r="J17" s="7" t="inlineStr">
        <is>
          <t>설명</t>
        </is>
      </c>
      <c r="K17" s="7" t="inlineStr">
        <is>
          <t>비고</t>
        </is>
      </c>
    </row>
    <row r="18" ht="30" customHeight="1">
      <c r="A18" s="8" t="inlineStr">
        <is>
          <t>최소 개선각</t>
        </is>
      </c>
      <c r="B18" s="9">
        <f>'PAUT 설정표'!E5-'PAUT 설정표'!H5</f>
        <v/>
      </c>
      <c r="C18" s="9">
        <f>90-B18</f>
        <v/>
      </c>
      <c r="D18" s="9">
        <f>C18-6</f>
        <v/>
      </c>
      <c r="E18" s="9">
        <f>C18+6</f>
        <v/>
      </c>
      <c r="F18" s="9">
        <f>'PAUT 설정표'!B6</f>
        <v/>
      </c>
      <c r="G18" s="9">
        <f>'PAUT 설정표'!E6</f>
        <v/>
      </c>
      <c r="H18" s="9">
        <f>MAX(ABS(F18-C18),ABS(G18-C18))</f>
        <v/>
      </c>
      <c r="I18" s="8">
        <f>IF(H18&lt;=6,"적합","검토 필요")</f>
        <v/>
      </c>
      <c r="J18" s="8">
        <f>IF(I18="적합","사용 범위 전체가 법선 ±6° 이내","범위 조정 또는 보완검사 필요")</f>
        <v/>
      </c>
      <c r="K18" s="8" t="inlineStr">
        <is>
          <t>RLNG-000-MT-SP-6313 §6.2</t>
        </is>
      </c>
    </row>
    <row r="19" ht="30" customHeight="1">
      <c r="A19" s="8" t="inlineStr">
        <is>
          <t>공칭 개선각</t>
        </is>
      </c>
      <c r="B19" s="9">
        <f>'PAUT 설정표'!E5</f>
        <v/>
      </c>
      <c r="C19" s="9">
        <f>90-B19</f>
        <v/>
      </c>
      <c r="D19" s="9">
        <f>C19-6</f>
        <v/>
      </c>
      <c r="E19" s="9">
        <f>C19+6</f>
        <v/>
      </c>
      <c r="F19" s="9">
        <f>'PAUT 설정표'!B6</f>
        <v/>
      </c>
      <c r="G19" s="9">
        <f>'PAUT 설정표'!E6</f>
        <v/>
      </c>
      <c r="H19" s="9">
        <f>MAX(ABS(F19-C19),ABS(G19-C19))</f>
        <v/>
      </c>
      <c r="I19" s="8">
        <f>IF(H19&lt;=6,"적합","검토 필요")</f>
        <v/>
      </c>
      <c r="J19" s="8">
        <f>IF(I19="적합","사용 범위 전체가 법선 ±6° 이내","범위 조정 또는 보완검사 필요")</f>
        <v/>
      </c>
      <c r="K19" s="8" t="inlineStr">
        <is>
          <t>RLNG-000-MT-SP-6313 §6.2</t>
        </is>
      </c>
    </row>
    <row r="20" ht="30" customHeight="1">
      <c r="A20" s="8" t="inlineStr">
        <is>
          <t>최대 개선각</t>
        </is>
      </c>
      <c r="B20" s="9">
        <f>'PAUT 설정표'!E5+'PAUT 설정표'!H5</f>
        <v/>
      </c>
      <c r="C20" s="9">
        <f>90-B20</f>
        <v/>
      </c>
      <c r="D20" s="9">
        <f>C20-6</f>
        <v/>
      </c>
      <c r="E20" s="9">
        <f>C20+6</f>
        <v/>
      </c>
      <c r="F20" s="9">
        <f>'PAUT 설정표'!B6</f>
        <v/>
      </c>
      <c r="G20" s="9">
        <f>'PAUT 설정표'!E6</f>
        <v/>
      </c>
      <c r="H20" s="9">
        <f>MAX(ABS(F20-C20),ABS(G20-C20))</f>
        <v/>
      </c>
      <c r="I20" s="8">
        <f>IF(H20&lt;=6,"적합","검토 필요")</f>
        <v/>
      </c>
      <c r="J20" s="8">
        <f>IF(I20="적합","사용 범위 전체가 법선 ±6° 이내","범위 조정 또는 보완검사 필요")</f>
        <v/>
      </c>
      <c r="K20" s="8" t="inlineStr">
        <is>
          <t>RLNG-000-MT-SP-6313 §6.2</t>
        </is>
      </c>
    </row>
    <row r="21" ht="30" customHeight="1"/>
    <row r="22" ht="30" customHeight="1">
      <c r="A22" s="2" t="inlineStr">
        <is>
          <t>4. 인덱스별 음향경로 참고값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30" customHeight="1">
      <c r="A23" s="7" t="inlineStr">
        <is>
          <t>Index (mm)</t>
        </is>
      </c>
      <c r="B23" s="7" t="inlineStr">
        <is>
          <t>빔각 (°)</t>
        </is>
      </c>
      <c r="C23" s="7" t="inlineStr">
        <is>
          <t>1-leg 거리 (mm)</t>
        </is>
      </c>
      <c r="D23" s="7" t="inlineStr">
        <is>
          <t>Full-skip 거리 (mm)</t>
        </is>
      </c>
      <c r="E23" s="7" t="inlineStr">
        <is>
          <t>중심선 도달깊이 (mm)</t>
        </is>
      </c>
      <c r="F23" s="7" t="inlineStr">
        <is>
          <t>두께 이내 직접 도달</t>
        </is>
      </c>
      <c r="G23" s="7" t="inlineStr">
        <is>
          <t>주요 경로</t>
        </is>
      </c>
      <c r="H23" s="7" t="inlineStr">
        <is>
          <t>검토사항</t>
        </is>
      </c>
      <c r="I23" s="7" t="inlineStr">
        <is>
          <t>용접부</t>
        </is>
      </c>
      <c r="J23" s="7" t="inlineStr">
        <is>
          <t>HAZ</t>
        </is>
      </c>
      <c r="K23" s="7" t="inlineStr">
        <is>
          <t>판정 메모</t>
        </is>
      </c>
    </row>
    <row r="24" ht="30" customHeight="1">
      <c r="A24" s="9" t="n">
        <v>22</v>
      </c>
      <c r="B24" s="9" t="n">
        <v>49</v>
      </c>
      <c r="C24" s="9">
        <f>$B$5*TAN(RADIANS(B24))</f>
        <v/>
      </c>
      <c r="D24" s="9">
        <f>2*C24</f>
        <v/>
      </c>
      <c r="E24" s="9">
        <f>A24/TAN(RADIANS(B24))</f>
        <v/>
      </c>
      <c r="F24" s="8">
        <f>IF(E24&lt;=$B$5,"예","아니오")</f>
        <v/>
      </c>
      <c r="G24" s="8">
        <f>IF(A24&lt;C24,"직접 빔",IF(A24&lt;D24,"저면 반사 경로","Full-skip 이상"))</f>
        <v/>
      </c>
      <c r="H24" s="8" t="inlineStr">
        <is>
          <t>실제 용접형상·출사점 기준으로 확인</t>
        </is>
      </c>
      <c r="I24" s="8" t="inlineStr">
        <is>
          <t>확인 필요</t>
        </is>
      </c>
      <c r="J24" s="8" t="inlineStr">
        <is>
          <t>확인 필요</t>
        </is>
      </c>
      <c r="K24" s="8" t="inlineStr">
        <is>
          <t>Scan Plan 및 Demo Block 검증</t>
        </is>
      </c>
    </row>
    <row r="25" ht="30" customHeight="1">
      <c r="A25" s="9" t="n">
        <v>22</v>
      </c>
      <c r="B25" s="9" t="n">
        <v>52.5</v>
      </c>
      <c r="C25" s="9">
        <f>$B$5*TAN(RADIANS(B25))</f>
        <v/>
      </c>
      <c r="D25" s="9">
        <f>2*C25</f>
        <v/>
      </c>
      <c r="E25" s="9">
        <f>A25/TAN(RADIANS(B25))</f>
        <v/>
      </c>
      <c r="F25" s="8">
        <f>IF(E25&lt;=$B$5,"예","아니오")</f>
        <v/>
      </c>
      <c r="G25" s="8">
        <f>IF(A25&lt;C25,"직접 빔",IF(A25&lt;D25,"저면 반사 경로","Full-skip 이상"))</f>
        <v/>
      </c>
      <c r="H25" s="8" t="inlineStr">
        <is>
          <t>실제 용접형상·출사점 기준으로 확인</t>
        </is>
      </c>
      <c r="I25" s="8" t="inlineStr">
        <is>
          <t>확인 필요</t>
        </is>
      </c>
      <c r="J25" s="8" t="inlineStr">
        <is>
          <t>확인 필요</t>
        </is>
      </c>
      <c r="K25" s="8" t="inlineStr">
        <is>
          <t>Scan Plan 및 Demo Block 검증</t>
        </is>
      </c>
    </row>
    <row r="26" ht="30" customHeight="1">
      <c r="A26" s="9" t="n">
        <v>22</v>
      </c>
      <c r="B26" s="9" t="n">
        <v>56</v>
      </c>
      <c r="C26" s="9">
        <f>$B$5*TAN(RADIANS(B26))</f>
        <v/>
      </c>
      <c r="D26" s="9">
        <f>2*C26</f>
        <v/>
      </c>
      <c r="E26" s="9">
        <f>A26/TAN(RADIANS(B26))</f>
        <v/>
      </c>
      <c r="F26" s="8">
        <f>IF(E26&lt;=$B$5,"예","아니오")</f>
        <v/>
      </c>
      <c r="G26" s="8">
        <f>IF(A26&lt;C26,"직접 빔",IF(A26&lt;D26,"저면 반사 경로","Full-skip 이상"))</f>
        <v/>
      </c>
      <c r="H26" s="8" t="inlineStr">
        <is>
          <t>실제 용접형상·출사점 기준으로 확인</t>
        </is>
      </c>
      <c r="I26" s="8" t="inlineStr">
        <is>
          <t>확인 필요</t>
        </is>
      </c>
      <c r="J26" s="8" t="inlineStr">
        <is>
          <t>확인 필요</t>
        </is>
      </c>
      <c r="K26" s="8" t="inlineStr">
        <is>
          <t>Scan Plan 및 Demo Block 검증</t>
        </is>
      </c>
    </row>
    <row r="27" ht="30" customHeight="1">
      <c r="A27" s="9" t="n">
        <v>44</v>
      </c>
      <c r="B27" s="9" t="n">
        <v>49</v>
      </c>
      <c r="C27" s="9">
        <f>$B$5*TAN(RADIANS(B27))</f>
        <v/>
      </c>
      <c r="D27" s="9">
        <f>2*C27</f>
        <v/>
      </c>
      <c r="E27" s="9">
        <f>A27/TAN(RADIANS(B27))</f>
        <v/>
      </c>
      <c r="F27" s="8">
        <f>IF(E27&lt;=$B$5,"예","아니오")</f>
        <v/>
      </c>
      <c r="G27" s="8">
        <f>IF(A27&lt;C27,"직접 빔",IF(A27&lt;D27,"저면 반사 경로","Full-skip 이상"))</f>
        <v/>
      </c>
      <c r="H27" s="8" t="inlineStr">
        <is>
          <t>실제 용접형상·출사점 기준으로 확인</t>
        </is>
      </c>
      <c r="I27" s="8" t="inlineStr">
        <is>
          <t>확인 필요</t>
        </is>
      </c>
      <c r="J27" s="8" t="inlineStr">
        <is>
          <t>확인 필요</t>
        </is>
      </c>
      <c r="K27" s="8" t="inlineStr">
        <is>
          <t>Scan Plan 및 Demo Block 검증</t>
        </is>
      </c>
    </row>
    <row r="28" ht="30" customHeight="1">
      <c r="A28" s="9" t="n">
        <v>44</v>
      </c>
      <c r="B28" s="9" t="n">
        <v>52.5</v>
      </c>
      <c r="C28" s="9">
        <f>$B$5*TAN(RADIANS(B28))</f>
        <v/>
      </c>
      <c r="D28" s="9">
        <f>2*C28</f>
        <v/>
      </c>
      <c r="E28" s="9">
        <f>A28/TAN(RADIANS(B28))</f>
        <v/>
      </c>
      <c r="F28" s="8">
        <f>IF(E28&lt;=$B$5,"예","아니오")</f>
        <v/>
      </c>
      <c r="G28" s="8">
        <f>IF(A28&lt;C28,"직접 빔",IF(A28&lt;D28,"저면 반사 경로","Full-skip 이상"))</f>
        <v/>
      </c>
      <c r="H28" s="8" t="inlineStr">
        <is>
          <t>실제 용접형상·출사점 기준으로 확인</t>
        </is>
      </c>
      <c r="I28" s="8" t="inlineStr">
        <is>
          <t>확인 필요</t>
        </is>
      </c>
      <c r="J28" s="8" t="inlineStr">
        <is>
          <t>확인 필요</t>
        </is>
      </c>
      <c r="K28" s="8" t="inlineStr">
        <is>
          <t>Scan Plan 및 Demo Block 검증</t>
        </is>
      </c>
    </row>
    <row r="29" ht="30" customHeight="1">
      <c r="A29" s="9" t="n">
        <v>44</v>
      </c>
      <c r="B29" s="9" t="n">
        <v>56</v>
      </c>
      <c r="C29" s="9">
        <f>$B$5*TAN(RADIANS(B29))</f>
        <v/>
      </c>
      <c r="D29" s="9">
        <f>2*C29</f>
        <v/>
      </c>
      <c r="E29" s="9">
        <f>A29/TAN(RADIANS(B29))</f>
        <v/>
      </c>
      <c r="F29" s="8">
        <f>IF(E29&lt;=$B$5,"예","아니오")</f>
        <v/>
      </c>
      <c r="G29" s="8">
        <f>IF(A29&lt;C29,"직접 빔",IF(A29&lt;D29,"저면 반사 경로","Full-skip 이상"))</f>
        <v/>
      </c>
      <c r="H29" s="8" t="inlineStr">
        <is>
          <t>실제 용접형상·출사점 기준으로 확인</t>
        </is>
      </c>
      <c r="I29" s="8" t="inlineStr">
        <is>
          <t>확인 필요</t>
        </is>
      </c>
      <c r="J29" s="8" t="inlineStr">
        <is>
          <t>확인 필요</t>
        </is>
      </c>
      <c r="K29" s="8" t="inlineStr">
        <is>
          <t>Scan Plan 및 Demo Block 검증</t>
        </is>
      </c>
    </row>
    <row r="30" ht="30" customHeight="1">
      <c r="A30" s="9" t="n">
        <v>67</v>
      </c>
      <c r="B30" s="9" t="n">
        <v>49</v>
      </c>
      <c r="C30" s="9">
        <f>$B$5*TAN(RADIANS(B30))</f>
        <v/>
      </c>
      <c r="D30" s="9">
        <f>2*C30</f>
        <v/>
      </c>
      <c r="E30" s="9">
        <f>A30/TAN(RADIANS(B30))</f>
        <v/>
      </c>
      <c r="F30" s="8">
        <f>IF(E30&lt;=$B$5,"예","아니오")</f>
        <v/>
      </c>
      <c r="G30" s="8">
        <f>IF(A30&lt;C30,"직접 빔",IF(A30&lt;D30,"저면 반사 경로","Full-skip 이상"))</f>
        <v/>
      </c>
      <c r="H30" s="8" t="inlineStr">
        <is>
          <t>실제 용접형상·출사점 기준으로 확인</t>
        </is>
      </c>
      <c r="I30" s="8" t="inlineStr">
        <is>
          <t>확인 필요</t>
        </is>
      </c>
      <c r="J30" s="8" t="inlineStr">
        <is>
          <t>확인 필요</t>
        </is>
      </c>
      <c r="K30" s="8" t="inlineStr">
        <is>
          <t>Scan Plan 및 Demo Block 검증</t>
        </is>
      </c>
    </row>
    <row r="31" ht="30" customHeight="1">
      <c r="A31" s="9" t="n">
        <v>67</v>
      </c>
      <c r="B31" s="9" t="n">
        <v>52.5</v>
      </c>
      <c r="C31" s="9">
        <f>$B$5*TAN(RADIANS(B31))</f>
        <v/>
      </c>
      <c r="D31" s="9">
        <f>2*C31</f>
        <v/>
      </c>
      <c r="E31" s="9">
        <f>A31/TAN(RADIANS(B31))</f>
        <v/>
      </c>
      <c r="F31" s="8">
        <f>IF(E31&lt;=$B$5,"예","아니오")</f>
        <v/>
      </c>
      <c r="G31" s="8">
        <f>IF(A31&lt;C31,"직접 빔",IF(A31&lt;D31,"저면 반사 경로","Full-skip 이상"))</f>
        <v/>
      </c>
      <c r="H31" s="8" t="inlineStr">
        <is>
          <t>실제 용접형상·출사점 기준으로 확인</t>
        </is>
      </c>
      <c r="I31" s="8" t="inlineStr">
        <is>
          <t>확인 필요</t>
        </is>
      </c>
      <c r="J31" s="8" t="inlineStr">
        <is>
          <t>확인 필요</t>
        </is>
      </c>
      <c r="K31" s="8" t="inlineStr">
        <is>
          <t>Scan Plan 및 Demo Block 검증</t>
        </is>
      </c>
    </row>
    <row r="32" ht="30" customHeight="1">
      <c r="A32" s="9" t="n">
        <v>67</v>
      </c>
      <c r="B32" s="9" t="n">
        <v>56</v>
      </c>
      <c r="C32" s="9">
        <f>$B$5*TAN(RADIANS(B32))</f>
        <v/>
      </c>
      <c r="D32" s="9">
        <f>2*C32</f>
        <v/>
      </c>
      <c r="E32" s="9">
        <f>A32/TAN(RADIANS(B32))</f>
        <v/>
      </c>
      <c r="F32" s="8">
        <f>IF(E32&lt;=$B$5,"예","아니오")</f>
        <v/>
      </c>
      <c r="G32" s="8">
        <f>IF(A32&lt;C32,"직접 빔",IF(A32&lt;D32,"저면 반사 경로","Full-skip 이상"))</f>
        <v/>
      </c>
      <c r="H32" s="8" t="inlineStr">
        <is>
          <t>실제 용접형상·출사점 기준으로 확인</t>
        </is>
      </c>
      <c r="I32" s="8" t="inlineStr">
        <is>
          <t>확인 필요</t>
        </is>
      </c>
      <c r="J32" s="8" t="inlineStr">
        <is>
          <t>확인 필요</t>
        </is>
      </c>
      <c r="K32" s="8" t="inlineStr">
        <is>
          <t>Scan Plan 및 Demo Block 검증</t>
        </is>
      </c>
    </row>
    <row r="34" ht="35" customHeight="1">
      <c r="A34" s="10" t="inlineStr">
        <is>
          <t>검토 결론: 빔각 49°~56°는 개선각 37.5°±2.5°의 전체 제작공차에서 개선면 법선 편차 6° 이내를 만족한다. 단, Index 22/44/67 mm의 최종 적합성은 실제 용접폭, 루트형상, 웨지 출사점, 덧살 및 양측 주사 경로를 반영한 Scan Plan과 Demonstration Block으로 확인해야 한다.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3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75" right="0.75" top="1" bottom="1" header="0.5" footer="0.5"/>
  <pageSetup orientation="landscape" fitToHeight="2" fitToWidth="1"/>
  <headerFooter>
    <oddHeader/>
    <oddFooter>&amp;CPAUT 검사 설정 및 빔각 검토표&amp;RPage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2026-08-12T08:03:22Z</dcterms:modified>
</cp:coreProperties>
</file>